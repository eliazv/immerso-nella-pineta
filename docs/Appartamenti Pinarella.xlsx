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itti3" sheetId="1" r:id="rId5"/>
    <sheet state="visible" name="Affitti8" sheetId="2" r:id="rId6"/>
    <sheet state="visible" name="Affitti4" sheetId="3" r:id="rId7"/>
    <sheet state="visible" name="Prezzi" sheetId="4" r:id="rId8"/>
    <sheet state="visible" name="annullate" sheetId="5" r:id="rId9"/>
    <sheet state="visible" name="Spese" sheetId="6" r:id="rId10"/>
    <sheet state="visible" name="Prezzi per mese" sheetId="7" r:id="rId11"/>
    <sheet state="visible" name="Calcolo prezzi" sheetId="8" r:id="rId12"/>
  </sheets>
  <definedNames>
    <definedName hidden="1" localSheetId="0" name="Z_2E1EAC01_8BBB_46DA_8D70_17BBE008A636_.wvu.FilterData">Affitti3!$A$1:$S$121</definedName>
    <definedName hidden="1" localSheetId="1" name="Z_2E1EAC01_8BBB_46DA_8D70_17BBE008A636_.wvu.FilterData">Affitti8!$A$1:$R$23</definedName>
    <definedName hidden="1" localSheetId="2" name="Z_2E1EAC01_8BBB_46DA_8D70_17BBE008A636_.wvu.FilterData">Affitti4!$A$1:$R$25</definedName>
  </definedNames>
  <calcPr/>
  <customWorkbookViews>
    <customWorkbookView activeSheetId="0" maximized="1" windowHeight="0" windowWidth="0" guid="{2E1EAC01-8BBB-46DA-8D70-17BBE008A636}" name="ordine dat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La tassa di soggiorno, pari a €1 per notte per adulto (dai 15 anni in su), è applicabile dal 1° maggio al 30 settembre per un massimo di 7 pernottamenti consecutivi. Il pagamento può essere effettuato separatamente tramite Pay Pal, Satispay o bonifico bancario.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La tassa di soggiorno, pari a €1 per notte per adulto (dai 15 anni in su), è applicabile dal 1° maggio al 30 settembre per un massimo di 7 pernottamenti consecutivi. Il pagamento può essere effettuato separatamente tramite Pay Pal, Satispay o bonifico bancario.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La tassa di soggiorno, pari a €1 per notte per adulto (dai 15 anni in su), è applicabile dal 1° maggio al 30 settembre per un massimo di 7 pernottamenti consecutivi. Il pagamento può essere effettuato separatamente tramite Pay Pal, Satispay o bonifico bancario.</t>
      </text>
    </comment>
  </commentList>
</comments>
</file>

<file path=xl/sharedStrings.xml><?xml version="1.0" encoding="utf-8"?>
<sst xmlns="http://schemas.openxmlformats.org/spreadsheetml/2006/main" count="241" uniqueCount="130">
  <si>
    <t>Nome</t>
  </si>
  <si>
    <t>OTA</t>
  </si>
  <si>
    <t>Check-in</t>
  </si>
  <si>
    <t>Check-out</t>
  </si>
  <si>
    <t>Notti</t>
  </si>
  <si>
    <t>Adulti</t>
  </si>
  <si>
    <t>Bambini</t>
  </si>
  <si>
    <t>Animali</t>
  </si>
  <si>
    <t>Totale cliente</t>
  </si>
  <si>
    <t>Fuori OTA</t>
  </si>
  <si>
    <t>Costo notti</t>
  </si>
  <si>
    <t>Media a notte</t>
  </si>
  <si>
    <t>Pulizia</t>
  </si>
  <si>
    <t xml:space="preserve">Sconti </t>
  </si>
  <si>
    <t>Soggiorno Tax</t>
  </si>
  <si>
    <t>OTA tax</t>
  </si>
  <si>
    <t>Cedolare Secca (21%)</t>
  </si>
  <si>
    <t>Totale</t>
  </si>
  <si>
    <t>Note</t>
  </si>
  <si>
    <t>Affitto Estivo</t>
  </si>
  <si>
    <t>Agenzia</t>
  </si>
  <si>
    <t>Aldo Soragni</t>
  </si>
  <si>
    <t>Extra</t>
  </si>
  <si>
    <t>Claudia Tanase</t>
  </si>
  <si>
    <t>Booking</t>
  </si>
  <si>
    <t xml:space="preserve">Consuelo </t>
  </si>
  <si>
    <t>Airbnb</t>
  </si>
  <si>
    <t>prenotazione annullata, trovato sporco. soldi a bbva elia</t>
  </si>
  <si>
    <t>Sara Vignoli</t>
  </si>
  <si>
    <t>Alessandra Botticelli</t>
  </si>
  <si>
    <t>Federica Bolelli</t>
  </si>
  <si>
    <t>riccardo dell'omo</t>
  </si>
  <si>
    <t>alice santangelo</t>
  </si>
  <si>
    <t>Daniele serenari</t>
  </si>
  <si>
    <t>tasse nell'importo del bonifico</t>
  </si>
  <si>
    <t>Sonia Ciarlatani</t>
  </si>
  <si>
    <t>Manuel Moser</t>
  </si>
  <si>
    <t>Seggiolone</t>
  </si>
  <si>
    <t>Ilaria Tallarico</t>
  </si>
  <si>
    <t>Davide Andreoli</t>
  </si>
  <si>
    <t>tassa di soggiorno pagata a luglio</t>
  </si>
  <si>
    <t xml:space="preserve">Daniela </t>
  </si>
  <si>
    <t xml:space="preserve">in contanti all'arrivo, non ritirati. dai istruzioni </t>
  </si>
  <si>
    <t>Antonella Aguzzoli</t>
  </si>
  <si>
    <t>tasse di soggiorno conto nonno</t>
  </si>
  <si>
    <t>Antonia Ackermans</t>
  </si>
  <si>
    <t>Laura Babin</t>
  </si>
  <si>
    <r>
      <rPr>
        <rFont val="Arial"/>
        <color rgb="FF1155CC"/>
        <u/>
      </rPr>
      <t>=+421 917 691 51</t>
    </r>
    <r>
      <rPr>
        <rFont val="Arial"/>
        <color theme="1"/>
      </rPr>
      <t>4</t>
    </r>
  </si>
  <si>
    <t>tizio pina 3</t>
  </si>
  <si>
    <t>400 caparra, gestiamo tra di noi</t>
  </si>
  <si>
    <t>Fay Daria</t>
  </si>
  <si>
    <t>tassa di soggiorno ritirata? 24€</t>
  </si>
  <si>
    <t>furio Stamati</t>
  </si>
  <si>
    <t>Picari Silvia</t>
  </si>
  <si>
    <t>adulti</t>
  </si>
  <si>
    <t>bambini</t>
  </si>
  <si>
    <t>p1</t>
  </si>
  <si>
    <t>p3</t>
  </si>
  <si>
    <t>p2</t>
  </si>
  <si>
    <t>p4</t>
  </si>
  <si>
    <t>Agenzia 1</t>
  </si>
  <si>
    <t>Agenzia 2</t>
  </si>
  <si>
    <t>Agenzia 3</t>
  </si>
  <si>
    <t>Agenzia 4</t>
  </si>
  <si>
    <t>Agenzia 2026</t>
  </si>
  <si>
    <t>alex tigwell</t>
  </si>
  <si>
    <t>agenzia</t>
  </si>
  <si>
    <t>Fuori da agenzia</t>
  </si>
  <si>
    <t>Periodo</t>
  </si>
  <si>
    <t>N3</t>
  </si>
  <si>
    <t>booking n3</t>
  </si>
  <si>
    <t>N8</t>
  </si>
  <si>
    <t>booking n8</t>
  </si>
  <si>
    <t>Bassa stagione</t>
  </si>
  <si>
    <t>Leggera crescita</t>
  </si>
  <si>
    <t>Pre-pasqua</t>
  </si>
  <si>
    <t>Aquiloni + ponte 25 Apr</t>
  </si>
  <si>
    <t>Media stagione</t>
  </si>
  <si>
    <t>Buona domanda mare</t>
  </si>
  <si>
    <t>Inizio estate</t>
  </si>
  <si>
    <t>Alta domanda</t>
  </si>
  <si>
    <t>Alta stagione</t>
  </si>
  <si>
    <t>Picco luglio</t>
  </si>
  <si>
    <t>Ferragosto, massimo</t>
  </si>
  <si>
    <t>Ultima settimana, leggera discesa</t>
  </si>
  <si>
    <t>Buona domanda</t>
  </si>
  <si>
    <t>Ironman (alza su date specifiche)</t>
  </si>
  <si>
    <t>Aquiloni autunno</t>
  </si>
  <si>
    <t>Periodo tranquillo</t>
  </si>
  <si>
    <t>Natale/Capodanno (3–4 notti min)</t>
  </si>
  <si>
    <t>Annalisa Pescari</t>
  </si>
  <si>
    <t>€</t>
  </si>
  <si>
    <t>Appartmento</t>
  </si>
  <si>
    <t>teli e ciabatta</t>
  </si>
  <si>
    <t>app 3</t>
  </si>
  <si>
    <t>vaseto? e lampade</t>
  </si>
  <si>
    <t>app 8</t>
  </si>
  <si>
    <t>commissione elia</t>
  </si>
  <si>
    <t>15% del totale</t>
  </si>
  <si>
    <t>pulizie mamma</t>
  </si>
  <si>
    <t>15 prenotazioni</t>
  </si>
  <si>
    <t xml:space="preserve"> x Notte</t>
  </si>
  <si>
    <t>N4</t>
  </si>
  <si>
    <t>Date speciali</t>
  </si>
  <si>
    <t>Aquiloni primavera</t>
  </si>
  <si>
    <t>24 aprile - 4 maggio 2025</t>
  </si>
  <si>
    <t>11 - 22 ottobre 2024</t>
  </si>
  <si>
    <t>Iron man</t>
  </si>
  <si>
    <t>18 - 21 settembre 2025</t>
  </si>
  <si>
    <t>x Notte</t>
  </si>
  <si>
    <t>N°3</t>
  </si>
  <si>
    <t>N°4</t>
  </si>
  <si>
    <t>N°8</t>
  </si>
  <si>
    <t>Input</t>
  </si>
  <si>
    <t>Prezzo impostato</t>
  </si>
  <si>
    <t>Pagato da ospite</t>
  </si>
  <si>
    <t>←</t>
  </si>
  <si>
    <t>Costi servizio ospite</t>
  </si>
  <si>
    <t>Guadagno airbnb</t>
  </si>
  <si>
    <t>Costi servizio host</t>
  </si>
  <si>
    <t>Guadagno netto</t>
  </si>
  <si>
    <t xml:space="preserve">tasse (21%) </t>
  </si>
  <si>
    <t>X Notti</t>
  </si>
  <si>
    <t>notti</t>
  </si>
  <si>
    <t>Spese pulizie</t>
  </si>
  <si>
    <t>Sconto</t>
  </si>
  <si>
    <t>3 notti</t>
  </si>
  <si>
    <t>4 notti</t>
  </si>
  <si>
    <t>7 notti</t>
  </si>
  <si>
    <t>28 notti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</si>
</sst>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€-2]\ #,##0"/>
    <numFmt numFmtId="166" formatCode="mmm d"/>
    <numFmt numFmtId="167" formatCode="&quot;€&quot;#,##0"/>
    <numFmt numFmtId="168" formatCode="[$€-2]\ #,##0.00"/>
  </numFmts>
  <fonts count="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  <scheme val="minor"/>
    </font>
    <font>
      <b/>
      <u/>
      <sz val="15.0"/>
      <color theme="1"/>
      <name val="Arial"/>
      <scheme val="minor"/>
    </font>
    <font>
      <b/>
      <u/>
      <sz val="15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165" xfId="0" applyAlignment="1" applyFill="1" applyFont="1" applyNumberFormat="1">
      <alignment readingOrder="0" shrinkToFit="0" vertical="center" wrapText="0"/>
    </xf>
    <xf borderId="0" fillId="4" fontId="2" numFmtId="165" xfId="0" applyAlignment="1" applyFill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2" fillId="0" fontId="2" numFmtId="164" xfId="0" applyAlignment="1" applyBorder="1" applyFont="1" applyNumberForma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165" xfId="0" applyAlignment="1" applyBorder="1" applyFont="1" applyNumberFormat="1">
      <alignment readingOrder="0"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2" fillId="4" fontId="2" numFmtId="165" xfId="0" applyAlignment="1" applyBorder="1" applyFont="1" applyNumberFormat="1">
      <alignment readingOrder="0" shrinkToFit="0" vertical="center" wrapText="0"/>
    </xf>
    <xf borderId="2" fillId="0" fontId="1" numFmtId="165" xfId="0" applyAlignment="1" applyBorder="1" applyFont="1" applyNumberFormat="1">
      <alignment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quotePrefix="1" borderId="0" fillId="0" fontId="3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0" fontId="2" numFmtId="49" xfId="0" applyAlignment="1" applyBorder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165" xfId="0" applyAlignment="1" applyBorder="1" applyFont="1" applyNumberForma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3" numFmtId="167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readingOrder="0"/>
    </xf>
    <xf borderId="0" fillId="4" fontId="2" numFmtId="165" xfId="0" applyAlignment="1" applyFont="1" applyNumberFormat="1">
      <alignment readingOrder="0" shrinkToFit="0" wrapText="0"/>
    </xf>
    <xf borderId="0" fillId="0" fontId="2" numFmtId="165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/>
    </xf>
    <xf borderId="3" fillId="0" fontId="7" numFmtId="166" xfId="0" applyAlignment="1" applyBorder="1" applyFont="1" applyNumberFormat="1">
      <alignment horizontal="center" readingOrder="0"/>
    </xf>
    <xf borderId="4" fillId="0" fontId="7" numFmtId="166" xfId="0" applyAlignment="1" applyBorder="1" applyFont="1" applyNumberFormat="1">
      <alignment horizontal="center" readingOrder="0"/>
    </xf>
    <xf borderId="5" fillId="0" fontId="7" numFmtId="166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6" fillId="5" fontId="6" numFmtId="0" xfId="0" applyAlignment="1" applyBorder="1" applyFill="1" applyFont="1">
      <alignment horizontal="center" readingOrder="0"/>
    </xf>
    <xf borderId="0" fillId="0" fontId="8" numFmtId="167" xfId="0" applyAlignment="1" applyFont="1" applyNumberFormat="1">
      <alignment readingOrder="0"/>
    </xf>
    <xf borderId="0" fillId="0" fontId="8" numFmtId="0" xfId="0" applyFont="1"/>
    <xf borderId="7" fillId="5" fontId="6" numFmtId="0" xfId="0" applyAlignment="1" applyBorder="1" applyFont="1">
      <alignment horizontal="center" readingOrder="0"/>
    </xf>
    <xf borderId="8" fillId="5" fontId="6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3" fillId="0" fontId="6" numFmtId="0" xfId="0" applyAlignment="1" applyBorder="1" applyFont="1">
      <alignment readingOrder="0"/>
    </xf>
    <xf borderId="4" fillId="0" fontId="3" numFmtId="0" xfId="0" applyBorder="1" applyFont="1"/>
    <xf borderId="5" fillId="0" fontId="8" numFmtId="0" xfId="0" applyBorder="1" applyFont="1"/>
    <xf borderId="9" fillId="0" fontId="8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0" fillId="0" fontId="8" numFmtId="0" xfId="0" applyBorder="1" applyFont="1"/>
    <xf borderId="11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readingOrder="0"/>
    </xf>
    <xf borderId="12" fillId="0" fontId="8" numFmtId="0" xfId="0" applyBorder="1" applyFont="1"/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9" numFmtId="0" xfId="0" applyFont="1"/>
    <xf borderId="13" fillId="0" fontId="10" numFmtId="0" xfId="0" applyAlignment="1" applyBorder="1" applyFont="1">
      <alignment horizontal="center" readingOrder="0"/>
    </xf>
    <xf borderId="13" fillId="6" fontId="11" numFmtId="0" xfId="0" applyAlignment="1" applyBorder="1" applyFill="1" applyFont="1">
      <alignment horizontal="center" readingOrder="0"/>
    </xf>
    <xf borderId="13" fillId="0" fontId="9" numFmtId="0" xfId="0" applyAlignment="1" applyBorder="1" applyFont="1">
      <alignment horizontal="center" readingOrder="0"/>
    </xf>
    <xf borderId="6" fillId="0" fontId="12" numFmtId="0" xfId="0" applyAlignment="1" applyBorder="1" applyFont="1">
      <alignment readingOrder="0"/>
    </xf>
    <xf borderId="14" fillId="0" fontId="12" numFmtId="168" xfId="0" applyAlignment="1" applyBorder="1" applyFont="1" applyNumberFormat="1">
      <alignment readingOrder="0"/>
    </xf>
    <xf borderId="1" fillId="0" fontId="12" numFmtId="168" xfId="0" applyAlignment="1" applyBorder="1" applyFont="1" applyNumberFormat="1">
      <alignment readingOrder="0"/>
    </xf>
    <xf borderId="15" fillId="6" fontId="12" numFmtId="168" xfId="0" applyAlignment="1" applyBorder="1" applyFont="1" applyNumberFormat="1">
      <alignment readingOrder="0"/>
    </xf>
    <xf borderId="7" fillId="0" fontId="9" numFmtId="0" xfId="0" applyBorder="1" applyFont="1"/>
    <xf borderId="7" fillId="0" fontId="9" numFmtId="0" xfId="0" applyAlignment="1" applyBorder="1" applyFont="1">
      <alignment readingOrder="0"/>
    </xf>
    <xf borderId="9" fillId="0" fontId="9" numFmtId="168" xfId="0" applyBorder="1" applyFont="1" applyNumberFormat="1"/>
    <xf borderId="0" fillId="0" fontId="9" numFmtId="168" xfId="0" applyFont="1" applyNumberFormat="1"/>
    <xf borderId="10" fillId="6" fontId="9" numFmtId="168" xfId="0" applyBorder="1" applyFont="1" applyNumberFormat="1"/>
    <xf borderId="0" fillId="0" fontId="9" numFmtId="0" xfId="0" applyAlignment="1" applyFont="1">
      <alignment horizontal="center" readingOrder="0"/>
    </xf>
    <xf borderId="7" fillId="0" fontId="9" numFmtId="10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7" fillId="7" fontId="13" numFmtId="0" xfId="0" applyAlignment="1" applyBorder="1" applyFill="1" applyFont="1">
      <alignment readingOrder="0"/>
    </xf>
    <xf borderId="7" fillId="0" fontId="12" numFmtId="0" xfId="0" applyAlignment="1" applyBorder="1" applyFont="1">
      <alignment readingOrder="0"/>
    </xf>
    <xf borderId="9" fillId="0" fontId="12" numFmtId="168" xfId="0" applyBorder="1" applyFont="1" applyNumberFormat="1"/>
    <xf borderId="0" fillId="0" fontId="12" numFmtId="168" xfId="0" applyFont="1" applyNumberFormat="1"/>
    <xf borderId="10" fillId="6" fontId="12" numFmtId="168" xfId="0" applyBorder="1" applyFont="1" applyNumberFormat="1"/>
    <xf borderId="8" fillId="0" fontId="9" numFmtId="0" xfId="0" applyAlignment="1" applyBorder="1" applyFont="1">
      <alignment readingOrder="0"/>
    </xf>
    <xf borderId="11" fillId="0" fontId="9" numFmtId="168" xfId="0" applyBorder="1" applyFont="1" applyNumberFormat="1"/>
    <xf borderId="2" fillId="0" fontId="9" numFmtId="168" xfId="0" applyBorder="1" applyFont="1" applyNumberFormat="1"/>
    <xf borderId="12" fillId="6" fontId="9" numFmtId="168" xfId="0" applyBorder="1" applyFont="1" applyNumberFormat="1"/>
    <xf borderId="7" fillId="0" fontId="9" numFmtId="0" xfId="0" applyAlignment="1" applyBorder="1" applyFont="1">
      <alignment readingOrder="0"/>
    </xf>
    <xf borderId="0" fillId="7" fontId="9" numFmtId="0" xfId="0" applyFont="1"/>
    <xf borderId="0" fillId="0" fontId="9" numFmtId="0" xfId="0" applyAlignment="1" applyFont="1">
      <alignment readingOrder="0"/>
    </xf>
    <xf borderId="0" fillId="6" fontId="9" numFmtId="168" xfId="0" applyFont="1" applyNumberFormat="1"/>
    <xf borderId="0" fillId="0" fontId="9" numFmtId="1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ffitti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ffitti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ffitti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zz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21" displayName="Appartamento_3" name="Appartamento_3" id="1">
  <tableColumns count="19">
    <tableColumn name="Nome" id="1"/>
    <tableColumn name="OTA" id="2"/>
    <tableColumn name="Check-in" id="3"/>
    <tableColumn name="Check-out" id="4"/>
    <tableColumn name="Notti" id="5"/>
    <tableColumn name="Adulti" id="6"/>
    <tableColumn name="Bambini" id="7"/>
    <tableColumn name="Animali" id="8"/>
    <tableColumn name="Totale cliente" id="9"/>
    <tableColumn name="Fuori OTA" id="10"/>
    <tableColumn name="Costo notti" id="11"/>
    <tableColumn name="Media a notte" id="12"/>
    <tableColumn name="Pulizia" id="13"/>
    <tableColumn name="Sconti " id="14"/>
    <tableColumn name="Soggiorno Tax" id="15"/>
    <tableColumn name="OTA tax" id="16"/>
    <tableColumn name="Cedolare Secca (21%)" id="17"/>
    <tableColumn name="Totale" id="18"/>
    <tableColumn name="Note" id="19"/>
  </tableColumns>
  <tableStyleInfo name="Affitti3-style" showColumnStripes="0" showFirstColumn="1" showLastColumn="1" showRowStripes="1"/>
</table>
</file>

<file path=xl/tables/table2.xml><?xml version="1.0" encoding="utf-8"?>
<table xmlns="http://schemas.openxmlformats.org/spreadsheetml/2006/main" ref="A1:R23" displayName="Appartamento_8" name="Appartamento_8" id="2">
  <tableColumns count="18">
    <tableColumn name="Nome" id="1"/>
    <tableColumn name="OTA" id="2"/>
    <tableColumn name="Check-in" id="3"/>
    <tableColumn name="Check-out" id="4"/>
    <tableColumn name="Notti" id="5"/>
    <tableColumn name="adulti" id="6"/>
    <tableColumn name="bambini" id="7"/>
    <tableColumn name="Totale cliente" id="8"/>
    <tableColumn name="Fuori OTA" id="9"/>
    <tableColumn name="Costo notti" id="10"/>
    <tableColumn name="Media a notte" id="11"/>
    <tableColumn name="Pulizia" id="12"/>
    <tableColumn name="Sconti " id="13"/>
    <tableColumn name="Soggiorno Tax" id="14"/>
    <tableColumn name="OTA tax" id="15"/>
    <tableColumn name="Cedolare Secca (21%)" id="16"/>
    <tableColumn name="Totale" id="17"/>
    <tableColumn name="Note" id="18"/>
  </tableColumns>
  <tableStyleInfo name="Affitti8-style" showColumnStripes="0" showFirstColumn="1" showLastColumn="1" showRowStripes="1"/>
</table>
</file>

<file path=xl/tables/table3.xml><?xml version="1.0" encoding="utf-8"?>
<table xmlns="http://schemas.openxmlformats.org/spreadsheetml/2006/main" ref="A1:R25" displayName="Appartamento_4" name="Appartamento_4" id="3">
  <tableColumns count="18">
    <tableColumn name="Nome" id="1"/>
    <tableColumn name="OTA" id="2"/>
    <tableColumn name="Check-in" id="3"/>
    <tableColumn name="Check-out" id="4"/>
    <tableColumn name="Notti" id="5"/>
    <tableColumn name="adulti" id="6"/>
    <tableColumn name="bambini" id="7"/>
    <tableColumn name="Totale cliente" id="8"/>
    <tableColumn name="Fuori OTA" id="9"/>
    <tableColumn name="Costo notti" id="10"/>
    <tableColumn name="Media a notte" id="11"/>
    <tableColumn name="Pulizia" id="12"/>
    <tableColumn name="Sconti " id="13"/>
    <tableColumn name="Soggiorno Tax" id="14"/>
    <tableColumn name="OTA tax" id="15"/>
    <tableColumn name="Cedolare Secca (21%)" id="16"/>
    <tableColumn name="Totale" id="17"/>
    <tableColumn name="Note" id="18"/>
  </tableColumns>
  <tableStyleInfo name="Affitti4-style" showColumnStripes="0" showFirstColumn="1" showLastColumn="1" showRowStripes="1"/>
</table>
</file>

<file path=xl/tables/table4.xml><?xml version="1.0" encoding="utf-8"?>
<table xmlns="http://schemas.openxmlformats.org/spreadsheetml/2006/main" ref="A1:F25" displayName="Tabella_1" name="Tabella_1" id="4">
  <tableColumns count="6">
    <tableColumn name="Periodo" id="1"/>
    <tableColumn name="N3" id="2"/>
    <tableColumn name="booking n3" id="3"/>
    <tableColumn name="N8" id="4"/>
    <tableColumn name="booking n8" id="5"/>
    <tableColumn name="Note" id="6"/>
  </tableColumns>
  <tableStyleInfo name="Prezzi-style" showColumnStripes="0" showFirstColumn="1" showLastColumn="1" showRowStripes="1"/>
</table>
</file>

<file path=xl/tables/table5.xml><?xml version="1.0" encoding="utf-8"?>
<table xmlns="http://schemas.openxmlformats.org/spreadsheetml/2006/main" ref="A1:D15" displayName="Spese" name="Spese" id="5">
  <tableColumns count="4">
    <tableColumn name="Nome" id="1"/>
    <tableColumn name="€" id="2"/>
    <tableColumn name="Appartmento" id="3"/>
    <tableColumn name="Note" id="4"/>
  </tableColumns>
  <tableStyleInfo name="Spe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3.38"/>
    <col customWidth="1" min="3" max="3" width="12.63"/>
    <col customWidth="1" min="4" max="4" width="13.13"/>
    <col customWidth="1" min="5" max="5" width="9.5"/>
    <col customWidth="1" min="6" max="6" width="9.38"/>
    <col customWidth="1" min="7" max="7" width="9.25"/>
    <col customWidth="1" min="8" max="8" width="10.75"/>
    <col customWidth="1" min="9" max="9" width="12.13"/>
    <col customWidth="1" min="10" max="10" width="10.0"/>
    <col customWidth="1" min="11" max="11" width="10.75"/>
    <col customWidth="1" min="12" max="12" width="9.75"/>
    <col customWidth="1" min="13" max="13" width="10.63"/>
    <col customWidth="1" min="14" max="14" width="9.25"/>
    <col customWidth="1" min="15" max="16" width="12.63"/>
    <col customWidth="1" min="17" max="17" width="14.25"/>
    <col customWidth="1" min="18" max="18" width="11.0"/>
    <col customWidth="1" min="19" max="19" width="3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22.5" customHeight="1">
      <c r="A2" s="5" t="s">
        <v>19</v>
      </c>
      <c r="B2" s="6" t="s">
        <v>20</v>
      </c>
      <c r="C2" s="7">
        <v>45452.0</v>
      </c>
      <c r="D2" s="7">
        <v>45473.0</v>
      </c>
      <c r="E2" s="8">
        <v>22.0</v>
      </c>
      <c r="F2" s="8">
        <v>4.0</v>
      </c>
      <c r="G2" s="8">
        <v>0.0</v>
      </c>
      <c r="H2" s="8">
        <v>0.0</v>
      </c>
      <c r="I2" s="9">
        <v>850.0</v>
      </c>
      <c r="J2" s="9"/>
      <c r="K2" s="9">
        <v>850.0</v>
      </c>
      <c r="L2" s="9">
        <v>39.0</v>
      </c>
      <c r="M2" s="9"/>
      <c r="N2" s="9"/>
      <c r="O2" s="9"/>
      <c r="P2" s="9">
        <v>155.0</v>
      </c>
      <c r="Q2" s="9">
        <v>178.0</v>
      </c>
      <c r="R2" s="10">
        <v>516.0</v>
      </c>
      <c r="S2" s="11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ht="22.5" customHeight="1">
      <c r="A3" s="5" t="s">
        <v>19</v>
      </c>
      <c r="B3" s="6" t="s">
        <v>20</v>
      </c>
      <c r="C3" s="7">
        <v>45473.0</v>
      </c>
      <c r="D3" s="7">
        <v>45487.0</v>
      </c>
      <c r="E3" s="8">
        <v>15.0</v>
      </c>
      <c r="F3" s="8">
        <v>4.0</v>
      </c>
      <c r="G3" s="8">
        <v>0.0</v>
      </c>
      <c r="H3" s="8">
        <v>0.0</v>
      </c>
      <c r="I3" s="9">
        <v>1200.0</v>
      </c>
      <c r="J3" s="9"/>
      <c r="K3" s="9">
        <v>1200.0</v>
      </c>
      <c r="L3" s="9">
        <v>80.0</v>
      </c>
      <c r="M3" s="9"/>
      <c r="N3" s="9"/>
      <c r="O3" s="9"/>
      <c r="P3" s="9">
        <v>220.0</v>
      </c>
      <c r="Q3" s="9">
        <v>252.0</v>
      </c>
      <c r="R3" s="10">
        <v>729.0</v>
      </c>
      <c r="S3" s="11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ht="22.5" customHeight="1">
      <c r="A4" s="5" t="s">
        <v>19</v>
      </c>
      <c r="B4" s="6" t="s">
        <v>20</v>
      </c>
      <c r="C4" s="7">
        <v>45494.0</v>
      </c>
      <c r="D4" s="7">
        <v>45507.0</v>
      </c>
      <c r="E4" s="8">
        <v>14.0</v>
      </c>
      <c r="F4" s="8">
        <v>4.0</v>
      </c>
      <c r="G4" s="8">
        <v>0.0</v>
      </c>
      <c r="H4" s="8">
        <v>0.0</v>
      </c>
      <c r="I4" s="9">
        <v>1100.0</v>
      </c>
      <c r="J4" s="9"/>
      <c r="K4" s="9">
        <v>1100.0</v>
      </c>
      <c r="L4" s="9">
        <v>79.0</v>
      </c>
      <c r="M4" s="9"/>
      <c r="N4" s="9"/>
      <c r="O4" s="9"/>
      <c r="P4" s="9">
        <v>201.0</v>
      </c>
      <c r="Q4" s="9">
        <v>231.0</v>
      </c>
      <c r="R4" s="10">
        <v>668.0</v>
      </c>
      <c r="S4" s="11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ht="22.5" customHeight="1">
      <c r="A5" s="7" t="s">
        <v>21</v>
      </c>
      <c r="B5" s="13" t="s">
        <v>22</v>
      </c>
      <c r="C5" s="7">
        <v>45506.0</v>
      </c>
      <c r="D5" s="7">
        <v>45520.0</v>
      </c>
      <c r="E5" s="8">
        <f>D5-C5</f>
        <v>14</v>
      </c>
      <c r="F5" s="8"/>
      <c r="G5" s="8"/>
      <c r="H5" s="8"/>
      <c r="I5" s="14"/>
      <c r="J5" s="9">
        <v>1450.0</v>
      </c>
      <c r="K5" s="9"/>
      <c r="L5" s="14"/>
      <c r="M5" s="14"/>
      <c r="N5" s="14"/>
      <c r="O5" s="14"/>
      <c r="P5" s="14"/>
      <c r="Q5" s="14"/>
      <c r="R5" s="15">
        <f>K5+M5-N5-P5-Q5+J5</f>
        <v>1450</v>
      </c>
      <c r="S5" s="16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ht="22.5" customHeight="1">
      <c r="A6" s="5" t="s">
        <v>19</v>
      </c>
      <c r="B6" s="6" t="s">
        <v>20</v>
      </c>
      <c r="C6" s="7">
        <v>45523.0</v>
      </c>
      <c r="D6" s="7">
        <v>45536.0</v>
      </c>
      <c r="E6" s="8">
        <v>14.0</v>
      </c>
      <c r="F6" s="8">
        <v>4.0</v>
      </c>
      <c r="G6" s="8">
        <v>0.0</v>
      </c>
      <c r="H6" s="8">
        <v>0.0</v>
      </c>
      <c r="I6" s="9">
        <v>1250.0</v>
      </c>
      <c r="J6" s="9"/>
      <c r="K6" s="9">
        <v>1250.0</v>
      </c>
      <c r="L6" s="9">
        <v>89.0</v>
      </c>
      <c r="M6" s="9"/>
      <c r="N6" s="9"/>
      <c r="O6" s="9"/>
      <c r="P6" s="9">
        <v>229.0</v>
      </c>
      <c r="Q6" s="9">
        <v>263.0</v>
      </c>
      <c r="R6" s="10">
        <v>759.0</v>
      </c>
      <c r="S6" s="11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ht="22.5" customHeight="1">
      <c r="A7" s="17" t="s">
        <v>23</v>
      </c>
      <c r="B7" s="18" t="s">
        <v>24</v>
      </c>
      <c r="C7" s="17">
        <v>45755.0</v>
      </c>
      <c r="D7" s="17">
        <v>45759.0</v>
      </c>
      <c r="E7" s="19">
        <f>D7-C7</f>
        <v>4</v>
      </c>
      <c r="F7" s="20">
        <v>4.0</v>
      </c>
      <c r="G7" s="20">
        <v>0.0</v>
      </c>
      <c r="H7" s="20"/>
      <c r="I7" s="21">
        <v>342.0</v>
      </c>
      <c r="J7" s="21">
        <v>220.0</v>
      </c>
      <c r="K7" s="21">
        <v>252.0</v>
      </c>
      <c r="L7" s="21">
        <v>63.0</v>
      </c>
      <c r="M7" s="21">
        <v>90.0</v>
      </c>
      <c r="N7" s="22"/>
      <c r="O7" s="21"/>
      <c r="P7" s="21">
        <f>56+12</f>
        <v>68</v>
      </c>
      <c r="Q7" s="21">
        <v>72.0</v>
      </c>
      <c r="R7" s="23">
        <f t="shared" ref="R7:R18" si="1">K7+M7-N7-P7-Q7+J7</f>
        <v>422</v>
      </c>
      <c r="S7" s="24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ht="22.5" customHeight="1">
      <c r="A8" s="7" t="s">
        <v>25</v>
      </c>
      <c r="B8" s="13" t="s">
        <v>26</v>
      </c>
      <c r="C8" s="7">
        <v>45763.0</v>
      </c>
      <c r="D8" s="7">
        <v>45764.0</v>
      </c>
      <c r="E8" s="25">
        <v>1.0</v>
      </c>
      <c r="F8" s="25">
        <v>3.0</v>
      </c>
      <c r="G8" s="25">
        <v>0.0</v>
      </c>
      <c r="H8" s="25"/>
      <c r="I8" s="9"/>
      <c r="J8" s="9">
        <v>65.0</v>
      </c>
      <c r="K8" s="9"/>
      <c r="L8" s="9"/>
      <c r="M8" s="9"/>
      <c r="N8" s="14"/>
      <c r="O8" s="9"/>
      <c r="P8" s="9"/>
      <c r="Q8" s="9"/>
      <c r="R8" s="15">
        <f t="shared" si="1"/>
        <v>65</v>
      </c>
      <c r="S8" s="5" t="s">
        <v>27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ht="22.5" customHeight="1">
      <c r="A9" s="7" t="s">
        <v>28</v>
      </c>
      <c r="B9" s="13" t="s">
        <v>24</v>
      </c>
      <c r="C9" s="7">
        <v>45767.0</v>
      </c>
      <c r="D9" s="7">
        <v>45768.0</v>
      </c>
      <c r="E9" s="8">
        <f>D9-C9</f>
        <v>1</v>
      </c>
      <c r="F9" s="25">
        <v>4.0</v>
      </c>
      <c r="G9" s="25">
        <v>0.0</v>
      </c>
      <c r="H9" s="25"/>
      <c r="I9" s="9">
        <v>158.0</v>
      </c>
      <c r="J9" s="9"/>
      <c r="K9" s="9">
        <v>68.0</v>
      </c>
      <c r="L9" s="9">
        <v>68.0</v>
      </c>
      <c r="M9" s="9">
        <v>90.0</v>
      </c>
      <c r="N9" s="14"/>
      <c r="O9" s="9"/>
      <c r="P9" s="9">
        <f>26+(22*26/100)</f>
        <v>31.72</v>
      </c>
      <c r="Q9" s="9">
        <f t="shared" ref="Q9:Q10" si="2">I9*21/100</f>
        <v>33.18</v>
      </c>
      <c r="R9" s="15">
        <f t="shared" si="1"/>
        <v>93.1</v>
      </c>
      <c r="S9" s="16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ht="22.5" customHeight="1">
      <c r="A10" s="7" t="s">
        <v>29</v>
      </c>
      <c r="B10" s="13" t="s">
        <v>24</v>
      </c>
      <c r="C10" s="7">
        <v>45771.0</v>
      </c>
      <c r="D10" s="7">
        <v>45774.0</v>
      </c>
      <c r="E10" s="25">
        <v>3.0</v>
      </c>
      <c r="F10" s="25">
        <v>2.0</v>
      </c>
      <c r="G10" s="25">
        <v>2.0</v>
      </c>
      <c r="H10" s="25"/>
      <c r="I10" s="9">
        <v>327.0</v>
      </c>
      <c r="J10" s="9"/>
      <c r="K10" s="14">
        <f>79*3</f>
        <v>237</v>
      </c>
      <c r="L10" s="9">
        <v>79.0</v>
      </c>
      <c r="M10" s="9">
        <v>90.0</v>
      </c>
      <c r="N10" s="14"/>
      <c r="O10" s="9"/>
      <c r="P10" s="9">
        <f>54+(22*54/100)</f>
        <v>65.88</v>
      </c>
      <c r="Q10" s="9">
        <f t="shared" si="2"/>
        <v>68.67</v>
      </c>
      <c r="R10" s="15">
        <f t="shared" si="1"/>
        <v>192.45</v>
      </c>
      <c r="S10" s="16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ht="22.5" customHeight="1">
      <c r="A11" s="7" t="s">
        <v>30</v>
      </c>
      <c r="B11" s="13" t="s">
        <v>26</v>
      </c>
      <c r="C11" s="7">
        <v>45777.0</v>
      </c>
      <c r="D11" s="7">
        <v>45781.0</v>
      </c>
      <c r="E11" s="8">
        <f t="shared" ref="E11:E121" si="3">D11-C11</f>
        <v>4</v>
      </c>
      <c r="F11" s="25">
        <v>2.0</v>
      </c>
      <c r="G11" s="25">
        <v>2.0</v>
      </c>
      <c r="H11" s="25"/>
      <c r="I11" s="9">
        <v>457.0</v>
      </c>
      <c r="J11" s="9"/>
      <c r="K11" s="9">
        <v>300.0</v>
      </c>
      <c r="L11" s="14">
        <f>K11/E11</f>
        <v>75</v>
      </c>
      <c r="M11" s="9">
        <v>90.0</v>
      </c>
      <c r="N11" s="14"/>
      <c r="O11" s="26">
        <f t="shared" ref="O11:O13" si="4">E11*F11</f>
        <v>8</v>
      </c>
      <c r="P11" s="9">
        <v>24.0</v>
      </c>
      <c r="Q11" s="9">
        <v>82.0</v>
      </c>
      <c r="R11" s="15">
        <f t="shared" si="1"/>
        <v>284</v>
      </c>
      <c r="S11" s="16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ht="22.5" customHeight="1">
      <c r="A12" s="7" t="s">
        <v>31</v>
      </c>
      <c r="B12" s="13" t="s">
        <v>26</v>
      </c>
      <c r="C12" s="7">
        <v>45792.0</v>
      </c>
      <c r="D12" s="7">
        <v>45795.0</v>
      </c>
      <c r="E12" s="8">
        <f t="shared" si="3"/>
        <v>3</v>
      </c>
      <c r="F12" s="25">
        <v>2.0</v>
      </c>
      <c r="G12" s="25">
        <v>0.0</v>
      </c>
      <c r="H12" s="25">
        <v>1.0</v>
      </c>
      <c r="I12" s="9">
        <v>317.0</v>
      </c>
      <c r="J12" s="14"/>
      <c r="K12" s="9">
        <v>180.0</v>
      </c>
      <c r="L12" s="9">
        <v>60.0</v>
      </c>
      <c r="M12" s="9">
        <v>90.0</v>
      </c>
      <c r="N12" s="14"/>
      <c r="O12" s="26">
        <f t="shared" si="4"/>
        <v>6</v>
      </c>
      <c r="P12" s="9">
        <v>13.0</v>
      </c>
      <c r="Q12" s="9">
        <v>57.0</v>
      </c>
      <c r="R12" s="15">
        <f t="shared" si="1"/>
        <v>200</v>
      </c>
      <c r="S12" s="16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ht="22.5" customHeight="1">
      <c r="A13" s="7" t="s">
        <v>32</v>
      </c>
      <c r="B13" s="13" t="s">
        <v>26</v>
      </c>
      <c r="C13" s="7">
        <v>45808.0</v>
      </c>
      <c r="D13" s="7">
        <v>45815.0</v>
      </c>
      <c r="E13" s="8">
        <f t="shared" si="3"/>
        <v>7</v>
      </c>
      <c r="F13" s="25">
        <v>2.0</v>
      </c>
      <c r="G13" s="8"/>
      <c r="H13" s="25">
        <v>1.0</v>
      </c>
      <c r="I13" s="9">
        <v>645.0</v>
      </c>
      <c r="J13" s="14"/>
      <c r="K13" s="9">
        <v>460.0</v>
      </c>
      <c r="L13" s="9">
        <f>K13/E13</f>
        <v>65.71428571</v>
      </c>
      <c r="M13" s="9">
        <v>90.0</v>
      </c>
      <c r="N13" s="14"/>
      <c r="O13" s="26">
        <f t="shared" si="4"/>
        <v>14</v>
      </c>
      <c r="P13" s="9">
        <v>27.0</v>
      </c>
      <c r="Q13" s="9">
        <v>116.0</v>
      </c>
      <c r="R13" s="15">
        <f t="shared" si="1"/>
        <v>407</v>
      </c>
      <c r="S13" s="16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ht="22.5" customHeight="1">
      <c r="A14" s="7" t="s">
        <v>33</v>
      </c>
      <c r="B14" s="13" t="s">
        <v>26</v>
      </c>
      <c r="C14" s="7">
        <v>45821.0</v>
      </c>
      <c r="D14" s="7">
        <v>45824.0</v>
      </c>
      <c r="E14" s="8">
        <f t="shared" si="3"/>
        <v>3</v>
      </c>
      <c r="F14" s="25">
        <v>4.0</v>
      </c>
      <c r="G14" s="8"/>
      <c r="H14" s="8"/>
      <c r="I14" s="9">
        <v>293.0</v>
      </c>
      <c r="J14" s="9"/>
      <c r="K14" s="9">
        <v>150.0</v>
      </c>
      <c r="L14" s="9">
        <v>50.0</v>
      </c>
      <c r="M14" s="9">
        <v>90.0</v>
      </c>
      <c r="N14" s="14"/>
      <c r="O14" s="26">
        <v>9.0</v>
      </c>
      <c r="P14" s="9">
        <v>12.0</v>
      </c>
      <c r="Q14" s="9">
        <v>50.0</v>
      </c>
      <c r="R14" s="15">
        <f t="shared" si="1"/>
        <v>178</v>
      </c>
      <c r="S14" s="5" t="s">
        <v>34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ht="22.5" customHeight="1">
      <c r="A15" s="7" t="s">
        <v>35</v>
      </c>
      <c r="B15" s="13" t="s">
        <v>24</v>
      </c>
      <c r="C15" s="7">
        <v>45824.0</v>
      </c>
      <c r="D15" s="7">
        <v>45830.0</v>
      </c>
      <c r="E15" s="8">
        <f t="shared" si="3"/>
        <v>6</v>
      </c>
      <c r="F15" s="25">
        <v>2.0</v>
      </c>
      <c r="G15" s="25">
        <v>0.0</v>
      </c>
      <c r="H15" s="25"/>
      <c r="I15" s="9">
        <v>630.0</v>
      </c>
      <c r="J15" s="14"/>
      <c r="K15" s="14">
        <f>6*90</f>
        <v>540</v>
      </c>
      <c r="L15" s="9">
        <v>90.0</v>
      </c>
      <c r="M15" s="9">
        <v>90.0</v>
      </c>
      <c r="N15" s="14"/>
      <c r="O15" s="26">
        <v>12.0</v>
      </c>
      <c r="P15" s="9">
        <f>95+9+23</f>
        <v>127</v>
      </c>
      <c r="Q15" s="9">
        <f>I15*21/100</f>
        <v>132.3</v>
      </c>
      <c r="R15" s="15">
        <f t="shared" si="1"/>
        <v>370.7</v>
      </c>
      <c r="S15" s="5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ht="22.5" customHeight="1">
      <c r="A16" s="7" t="s">
        <v>36</v>
      </c>
      <c r="B16" s="13" t="s">
        <v>26</v>
      </c>
      <c r="C16" s="7">
        <v>45831.0</v>
      </c>
      <c r="D16" s="7">
        <v>45841.0</v>
      </c>
      <c r="E16" s="8">
        <f t="shared" si="3"/>
        <v>10</v>
      </c>
      <c r="F16" s="25">
        <v>2.0</v>
      </c>
      <c r="G16" s="25">
        <v>2.0</v>
      </c>
      <c r="H16" s="25"/>
      <c r="I16" s="9">
        <v>1122.0</v>
      </c>
      <c r="J16" s="9"/>
      <c r="K16" s="9">
        <v>867.0</v>
      </c>
      <c r="L16" s="14">
        <f>K16/E16</f>
        <v>86.7</v>
      </c>
      <c r="M16" s="9">
        <v>90.0</v>
      </c>
      <c r="N16" s="14"/>
      <c r="O16" s="26">
        <f t="shared" ref="O16:O18" si="5">7*F16</f>
        <v>14</v>
      </c>
      <c r="P16" s="9">
        <v>58.0</v>
      </c>
      <c r="Q16" s="9">
        <v>201.0</v>
      </c>
      <c r="R16" s="15">
        <f t="shared" si="1"/>
        <v>698</v>
      </c>
      <c r="S16" s="5" t="s">
        <v>37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ht="22.5" customHeight="1">
      <c r="A17" s="7" t="s">
        <v>38</v>
      </c>
      <c r="B17" s="13" t="s">
        <v>26</v>
      </c>
      <c r="C17" s="7">
        <v>45843.0</v>
      </c>
      <c r="D17" s="7">
        <v>45857.0</v>
      </c>
      <c r="E17" s="8">
        <f t="shared" si="3"/>
        <v>14</v>
      </c>
      <c r="F17" s="25">
        <v>2.0</v>
      </c>
      <c r="G17" s="25">
        <v>2.0</v>
      </c>
      <c r="H17" s="25"/>
      <c r="I17" s="9">
        <v>1550.0</v>
      </c>
      <c r="J17" s="14"/>
      <c r="K17" s="9">
        <v>1232.0</v>
      </c>
      <c r="L17" s="9">
        <v>88.0</v>
      </c>
      <c r="M17" s="9">
        <v>90.0</v>
      </c>
      <c r="N17" s="14"/>
      <c r="O17" s="27">
        <f t="shared" si="5"/>
        <v>14</v>
      </c>
      <c r="P17" s="9">
        <v>65.0</v>
      </c>
      <c r="Q17" s="9">
        <v>278.0</v>
      </c>
      <c r="R17" s="15">
        <f t="shared" si="1"/>
        <v>979</v>
      </c>
      <c r="S17" s="16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ht="22.5" customHeight="1">
      <c r="A18" s="7" t="s">
        <v>39</v>
      </c>
      <c r="B18" s="13" t="s">
        <v>26</v>
      </c>
      <c r="C18" s="7">
        <v>45858.0</v>
      </c>
      <c r="D18" s="7">
        <v>45871.0</v>
      </c>
      <c r="E18" s="8">
        <f t="shared" si="3"/>
        <v>13</v>
      </c>
      <c r="F18" s="25">
        <v>3.0</v>
      </c>
      <c r="G18" s="25">
        <v>1.0</v>
      </c>
      <c r="H18" s="25"/>
      <c r="I18" s="9">
        <v>1584.0</v>
      </c>
      <c r="J18" s="9"/>
      <c r="K18" s="9">
        <v>1274.0</v>
      </c>
      <c r="L18" s="14">
        <f>K18/E18</f>
        <v>98</v>
      </c>
      <c r="M18" s="9">
        <v>90.0</v>
      </c>
      <c r="N18" s="9">
        <v>13.0</v>
      </c>
      <c r="O18" s="27">
        <f t="shared" si="5"/>
        <v>21</v>
      </c>
      <c r="P18" s="9">
        <v>82.0</v>
      </c>
      <c r="Q18" s="9">
        <v>284.0</v>
      </c>
      <c r="R18" s="15">
        <f t="shared" si="1"/>
        <v>985</v>
      </c>
      <c r="S18" s="5" t="s">
        <v>40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ht="22.5" customHeight="1">
      <c r="A19" s="7" t="s">
        <v>21</v>
      </c>
      <c r="B19" s="13" t="s">
        <v>22</v>
      </c>
      <c r="C19" s="7">
        <v>45871.0</v>
      </c>
      <c r="D19" s="7">
        <v>45885.0</v>
      </c>
      <c r="E19" s="8">
        <f t="shared" si="3"/>
        <v>14</v>
      </c>
      <c r="F19" s="8"/>
      <c r="G19" s="8"/>
      <c r="H19" s="8"/>
      <c r="I19" s="14"/>
      <c r="J19" s="9">
        <v>1400.0</v>
      </c>
      <c r="K19" s="28"/>
      <c r="L19" s="9">
        <f>J19/E19</f>
        <v>100</v>
      </c>
      <c r="M19" s="14"/>
      <c r="N19" s="14"/>
      <c r="O19" s="14"/>
      <c r="P19" s="14"/>
      <c r="Q19" s="14"/>
      <c r="R19" s="15">
        <f>M19-N19-P19-Q19+J19</f>
        <v>1400</v>
      </c>
      <c r="S19" s="16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ht="22.5" customHeight="1">
      <c r="A20" s="7" t="s">
        <v>29</v>
      </c>
      <c r="B20" s="13" t="s">
        <v>26</v>
      </c>
      <c r="C20" s="7">
        <v>45886.0</v>
      </c>
      <c r="D20" s="7">
        <v>45892.0</v>
      </c>
      <c r="E20" s="8">
        <f t="shared" si="3"/>
        <v>6</v>
      </c>
      <c r="F20" s="25">
        <v>2.0</v>
      </c>
      <c r="G20" s="25">
        <v>0.0</v>
      </c>
      <c r="H20" s="25"/>
      <c r="I20" s="9">
        <v>795.0</v>
      </c>
      <c r="J20" s="9"/>
      <c r="K20" s="9">
        <v>588.0</v>
      </c>
      <c r="L20" s="14">
        <f>K20/E20</f>
        <v>98</v>
      </c>
      <c r="M20" s="9">
        <v>90.0</v>
      </c>
      <c r="N20" s="14"/>
      <c r="O20" s="27">
        <f>E20*F20</f>
        <v>12</v>
      </c>
      <c r="P20" s="9">
        <v>41.0</v>
      </c>
      <c r="Q20" s="9">
        <v>142.0</v>
      </c>
      <c r="R20" s="15">
        <f t="shared" ref="R20:R25" si="6">K20+M20-N20-P20-Q20+J20</f>
        <v>495</v>
      </c>
      <c r="S20" s="16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ht="22.5" customHeight="1">
      <c r="A21" s="7" t="s">
        <v>30</v>
      </c>
      <c r="B21" s="13" t="s">
        <v>22</v>
      </c>
      <c r="C21" s="7">
        <v>45892.0</v>
      </c>
      <c r="D21" s="7">
        <v>45896.0</v>
      </c>
      <c r="E21" s="8">
        <f t="shared" si="3"/>
        <v>4</v>
      </c>
      <c r="F21" s="25">
        <v>2.0</v>
      </c>
      <c r="G21" s="25">
        <v>2.0</v>
      </c>
      <c r="H21" s="8"/>
      <c r="I21" s="14"/>
      <c r="J21" s="9">
        <v>490.0</v>
      </c>
      <c r="K21" s="14"/>
      <c r="L21" s="14"/>
      <c r="M21" s="14"/>
      <c r="N21" s="14"/>
      <c r="O21" s="14"/>
      <c r="P21" s="14"/>
      <c r="Q21" s="14"/>
      <c r="R21" s="15">
        <f t="shared" si="6"/>
        <v>490</v>
      </c>
      <c r="S21" s="5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ht="22.5" customHeight="1">
      <c r="A22" s="7" t="s">
        <v>41</v>
      </c>
      <c r="B22" s="13" t="s">
        <v>22</v>
      </c>
      <c r="C22" s="7">
        <v>45898.0</v>
      </c>
      <c r="D22" s="7">
        <v>45905.0</v>
      </c>
      <c r="E22" s="8">
        <f t="shared" si="3"/>
        <v>7</v>
      </c>
      <c r="F22" s="25">
        <v>2.0</v>
      </c>
      <c r="G22" s="25">
        <v>1.0</v>
      </c>
      <c r="H22" s="8"/>
      <c r="I22" s="14"/>
      <c r="J22" s="9">
        <v>690.0</v>
      </c>
      <c r="K22" s="14"/>
      <c r="L22" s="14"/>
      <c r="M22" s="14"/>
      <c r="N22" s="14"/>
      <c r="O22" s="14"/>
      <c r="P22" s="14"/>
      <c r="Q22" s="14"/>
      <c r="R22" s="15">
        <f t="shared" si="6"/>
        <v>690</v>
      </c>
      <c r="S22" s="5" t="s">
        <v>42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ht="22.5" customHeight="1">
      <c r="A23" s="7" t="s">
        <v>43</v>
      </c>
      <c r="B23" s="13" t="s">
        <v>26</v>
      </c>
      <c r="C23" s="7">
        <v>45906.0</v>
      </c>
      <c r="D23" s="7">
        <v>45913.0</v>
      </c>
      <c r="E23" s="8">
        <f t="shared" si="3"/>
        <v>7</v>
      </c>
      <c r="F23" s="25">
        <v>2.0</v>
      </c>
      <c r="G23" s="8"/>
      <c r="H23" s="25">
        <v>1.0</v>
      </c>
      <c r="I23" s="9">
        <v>776.0</v>
      </c>
      <c r="J23" s="14"/>
      <c r="K23" s="9">
        <v>560.0</v>
      </c>
      <c r="L23" s="9">
        <v>80.0</v>
      </c>
      <c r="M23" s="9">
        <v>90.0</v>
      </c>
      <c r="N23" s="14"/>
      <c r="O23" s="26">
        <v>14.0</v>
      </c>
      <c r="P23" s="9">
        <v>32.0</v>
      </c>
      <c r="Q23" s="9">
        <v>137.0</v>
      </c>
      <c r="R23" s="15">
        <f t="shared" si="6"/>
        <v>481</v>
      </c>
      <c r="S23" s="5" t="s">
        <v>44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ht="22.5" customHeight="1">
      <c r="A24" s="29" t="s">
        <v>45</v>
      </c>
      <c r="B24" s="30" t="s">
        <v>26</v>
      </c>
      <c r="C24" s="29">
        <v>45918.0</v>
      </c>
      <c r="D24" s="29">
        <v>45922.0</v>
      </c>
      <c r="E24" s="31">
        <f t="shared" si="3"/>
        <v>4</v>
      </c>
      <c r="F24" s="32">
        <v>4.0</v>
      </c>
      <c r="G24" s="32">
        <v>0.0</v>
      </c>
      <c r="H24" s="32"/>
      <c r="I24" s="33">
        <v>494.0</v>
      </c>
      <c r="J24" s="33"/>
      <c r="K24" s="33">
        <v>332.0</v>
      </c>
      <c r="L24" s="34">
        <f>K24/E24</f>
        <v>83</v>
      </c>
      <c r="M24" s="33">
        <v>90.0</v>
      </c>
      <c r="N24" s="34"/>
      <c r="O24" s="35">
        <f>E24*F24</f>
        <v>16</v>
      </c>
      <c r="P24" s="33">
        <v>26.0</v>
      </c>
      <c r="Q24" s="33">
        <v>89.0</v>
      </c>
      <c r="R24" s="36">
        <f t="shared" si="6"/>
        <v>307</v>
      </c>
      <c r="S24" s="37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ht="22.5" customHeight="1">
      <c r="A25" s="7" t="s">
        <v>46</v>
      </c>
      <c r="B25" s="13" t="s">
        <v>24</v>
      </c>
      <c r="C25" s="7">
        <v>46281.0</v>
      </c>
      <c r="D25" s="7">
        <v>46286.0</v>
      </c>
      <c r="E25" s="8">
        <f t="shared" si="3"/>
        <v>5</v>
      </c>
      <c r="F25" s="25">
        <v>4.0</v>
      </c>
      <c r="G25" s="8"/>
      <c r="H25" s="8"/>
      <c r="I25" s="9">
        <v>585.0</v>
      </c>
      <c r="J25" s="9"/>
      <c r="K25" s="9">
        <v>495.0</v>
      </c>
      <c r="L25" s="9">
        <v>99.0</v>
      </c>
      <c r="M25" s="9">
        <v>90.0</v>
      </c>
      <c r="N25" s="9"/>
      <c r="O25" s="9">
        <f>F25*E25</f>
        <v>20</v>
      </c>
      <c r="P25" s="9">
        <v>97.0</v>
      </c>
      <c r="Q25" s="9">
        <f>I25*21/100</f>
        <v>122.85</v>
      </c>
      <c r="R25" s="15">
        <f t="shared" si="6"/>
        <v>365.15</v>
      </c>
      <c r="S25" s="38" t="s">
        <v>47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ht="22.5" customHeight="1">
      <c r="A26" s="7" t="s">
        <v>21</v>
      </c>
      <c r="B26" s="13" t="s">
        <v>22</v>
      </c>
      <c r="C26" s="7">
        <v>46236.0</v>
      </c>
      <c r="D26" s="7">
        <v>46250.0</v>
      </c>
      <c r="E26" s="8">
        <f t="shared" si="3"/>
        <v>14</v>
      </c>
      <c r="F26" s="8"/>
      <c r="G26" s="8"/>
      <c r="H26" s="8"/>
      <c r="I26" s="14"/>
      <c r="J26" s="9">
        <v>1400.0</v>
      </c>
      <c r="K26" s="28"/>
      <c r="L26" s="9">
        <f t="shared" ref="L26:L27" si="7">J26/E26</f>
        <v>100</v>
      </c>
      <c r="M26" s="14"/>
      <c r="N26" s="14"/>
      <c r="O26" s="14"/>
      <c r="P26" s="14"/>
      <c r="Q26" s="14"/>
      <c r="R26" s="15">
        <f>M26-N26-P26-Q26+J26</f>
        <v>1400</v>
      </c>
      <c r="S26" s="16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ht="22.5" customHeight="1">
      <c r="A27" s="7" t="s">
        <v>48</v>
      </c>
      <c r="B27" s="13" t="s">
        <v>22</v>
      </c>
      <c r="C27" s="7">
        <v>46208.0</v>
      </c>
      <c r="D27" s="7">
        <v>46222.0</v>
      </c>
      <c r="E27" s="8">
        <f t="shared" si="3"/>
        <v>14</v>
      </c>
      <c r="F27" s="25">
        <v>2.0</v>
      </c>
      <c r="G27" s="25">
        <v>2.0</v>
      </c>
      <c r="H27" s="8"/>
      <c r="I27" s="14"/>
      <c r="J27" s="9">
        <v>1440.0</v>
      </c>
      <c r="K27" s="14"/>
      <c r="L27" s="9">
        <f t="shared" si="7"/>
        <v>102.8571429</v>
      </c>
      <c r="M27" s="14"/>
      <c r="N27" s="14"/>
      <c r="O27" s="14"/>
      <c r="P27" s="14"/>
      <c r="Q27" s="14"/>
      <c r="R27" s="15">
        <f t="shared" ref="R27:R121" si="8">K27+M27-N27-P27-Q27+J27</f>
        <v>1440</v>
      </c>
      <c r="S27" s="5" t="s">
        <v>49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ht="22.5" customHeight="1">
      <c r="A28" s="7" t="s">
        <v>50</v>
      </c>
      <c r="B28" s="13" t="s">
        <v>26</v>
      </c>
      <c r="C28" s="7">
        <v>46251.0</v>
      </c>
      <c r="D28" s="7">
        <v>46257.0</v>
      </c>
      <c r="E28" s="8">
        <f t="shared" si="3"/>
        <v>6</v>
      </c>
      <c r="F28" s="25">
        <v>2.0</v>
      </c>
      <c r="G28" s="25">
        <v>2.0</v>
      </c>
      <c r="H28" s="8"/>
      <c r="I28" s="9">
        <v>959.0</v>
      </c>
      <c r="J28" s="14"/>
      <c r="K28" s="9">
        <v>708.0</v>
      </c>
      <c r="L28" s="14"/>
      <c r="M28" s="9">
        <v>90.0</v>
      </c>
      <c r="N28" s="14"/>
      <c r="O28" s="9">
        <v>12.0</v>
      </c>
      <c r="P28" s="14">
        <f>29</f>
        <v>29</v>
      </c>
      <c r="Q28" s="9">
        <v>168.0</v>
      </c>
      <c r="R28" s="15">
        <f t="shared" si="8"/>
        <v>601</v>
      </c>
      <c r="S28" s="5" t="s">
        <v>51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ht="22.5" customHeight="1">
      <c r="A29" s="7" t="s">
        <v>52</v>
      </c>
      <c r="B29" s="13" t="s">
        <v>24</v>
      </c>
      <c r="C29" s="7">
        <v>46114.0</v>
      </c>
      <c r="D29" s="7">
        <v>46119.0</v>
      </c>
      <c r="E29" s="8">
        <f t="shared" si="3"/>
        <v>5</v>
      </c>
      <c r="F29" s="25">
        <v>1.0</v>
      </c>
      <c r="G29" s="25">
        <v>3.0</v>
      </c>
      <c r="H29" s="8"/>
      <c r="I29" s="9">
        <v>430.0</v>
      </c>
      <c r="J29" s="14"/>
      <c r="K29" s="9">
        <v>340.0</v>
      </c>
      <c r="L29" s="14"/>
      <c r="M29" s="9">
        <v>90.0</v>
      </c>
      <c r="N29" s="14"/>
      <c r="O29" s="9">
        <v>5.0</v>
      </c>
      <c r="P29" s="9">
        <v>71.0</v>
      </c>
      <c r="Q29" s="14">
        <f t="shared" ref="Q29:Q30" si="9">I29*21/100</f>
        <v>90.3</v>
      </c>
      <c r="R29" s="15">
        <f t="shared" si="8"/>
        <v>268.7</v>
      </c>
      <c r="S29" s="16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ht="22.5" customHeight="1">
      <c r="A30" s="7" t="s">
        <v>53</v>
      </c>
      <c r="B30" s="13" t="s">
        <v>24</v>
      </c>
      <c r="C30" s="7">
        <v>46142.0</v>
      </c>
      <c r="D30" s="7">
        <v>46145.0</v>
      </c>
      <c r="E30" s="8">
        <f t="shared" si="3"/>
        <v>3</v>
      </c>
      <c r="F30" s="25">
        <v>2.0</v>
      </c>
      <c r="G30" s="25">
        <v>2.0</v>
      </c>
      <c r="H30" s="8"/>
      <c r="I30" s="9">
        <v>327.0</v>
      </c>
      <c r="J30" s="14"/>
      <c r="K30" s="9">
        <v>231.0</v>
      </c>
      <c r="L30" s="14"/>
      <c r="M30" s="9">
        <v>90.0</v>
      </c>
      <c r="N30" s="14"/>
      <c r="O30" s="9">
        <v>6.0</v>
      </c>
      <c r="P30" s="9">
        <v>53.0</v>
      </c>
      <c r="Q30" s="14">
        <f t="shared" si="9"/>
        <v>68.67</v>
      </c>
      <c r="R30" s="15">
        <f t="shared" si="8"/>
        <v>199.33</v>
      </c>
      <c r="S30" s="16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ht="22.5" customHeight="1">
      <c r="A31" s="39"/>
      <c r="B31" s="40"/>
      <c r="C31" s="39"/>
      <c r="D31" s="39"/>
      <c r="E31" s="8">
        <f t="shared" si="3"/>
        <v>0</v>
      </c>
      <c r="F31" s="8"/>
      <c r="G31" s="8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5">
        <f t="shared" si="8"/>
        <v>0</v>
      </c>
      <c r="S31" s="16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ht="22.5" customHeight="1">
      <c r="A32" s="39"/>
      <c r="B32" s="40"/>
      <c r="C32" s="39"/>
      <c r="D32" s="39"/>
      <c r="E32" s="8">
        <f t="shared" si="3"/>
        <v>0</v>
      </c>
      <c r="F32" s="8"/>
      <c r="G32" s="8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5">
        <f t="shared" si="8"/>
        <v>0</v>
      </c>
      <c r="S32" s="16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ht="22.5" customHeight="1">
      <c r="A33" s="39"/>
      <c r="B33" s="40"/>
      <c r="C33" s="39"/>
      <c r="D33" s="39"/>
      <c r="E33" s="8">
        <f t="shared" si="3"/>
        <v>0</v>
      </c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5">
        <f t="shared" si="8"/>
        <v>0</v>
      </c>
      <c r="S33" s="16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ht="22.5" customHeight="1">
      <c r="A34" s="39"/>
      <c r="B34" s="40"/>
      <c r="C34" s="39"/>
      <c r="D34" s="39"/>
      <c r="E34" s="8">
        <f t="shared" si="3"/>
        <v>0</v>
      </c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5">
        <f t="shared" si="8"/>
        <v>0</v>
      </c>
      <c r="S34" s="16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ht="22.5" customHeight="1">
      <c r="A35" s="39"/>
      <c r="B35" s="40"/>
      <c r="C35" s="39"/>
      <c r="D35" s="39"/>
      <c r="E35" s="8">
        <f t="shared" si="3"/>
        <v>0</v>
      </c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5">
        <f t="shared" si="8"/>
        <v>0</v>
      </c>
      <c r="S35" s="16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ht="22.5" customHeight="1">
      <c r="A36" s="39"/>
      <c r="B36" s="40"/>
      <c r="C36" s="39"/>
      <c r="D36" s="39"/>
      <c r="E36" s="8">
        <f t="shared" si="3"/>
        <v>0</v>
      </c>
      <c r="F36" s="8"/>
      <c r="G36" s="8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5">
        <f t="shared" si="8"/>
        <v>0</v>
      </c>
      <c r="S36" s="16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ht="22.5" customHeight="1">
      <c r="A37" s="39"/>
      <c r="B37" s="40"/>
      <c r="C37" s="39"/>
      <c r="D37" s="39"/>
      <c r="E37" s="8">
        <f t="shared" si="3"/>
        <v>0</v>
      </c>
      <c r="F37" s="8"/>
      <c r="G37" s="8"/>
      <c r="H37" s="8"/>
      <c r="I37" s="14"/>
      <c r="J37" s="14"/>
      <c r="K37" s="14"/>
      <c r="L37" s="14"/>
      <c r="M37" s="14"/>
      <c r="N37" s="14"/>
      <c r="O37" s="14"/>
      <c r="P37" s="14"/>
      <c r="Q37" s="14"/>
      <c r="R37" s="15">
        <f t="shared" si="8"/>
        <v>0</v>
      </c>
      <c r="S37" s="16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ht="22.5" customHeight="1">
      <c r="A38" s="39"/>
      <c r="B38" s="40"/>
      <c r="C38" s="39"/>
      <c r="D38" s="39"/>
      <c r="E38" s="8">
        <f t="shared" si="3"/>
        <v>0</v>
      </c>
      <c r="F38" s="8"/>
      <c r="G38" s="8"/>
      <c r="H38" s="8"/>
      <c r="I38" s="14"/>
      <c r="J38" s="14"/>
      <c r="K38" s="14"/>
      <c r="L38" s="14"/>
      <c r="M38" s="14"/>
      <c r="N38" s="14"/>
      <c r="O38" s="14"/>
      <c r="P38" s="14"/>
      <c r="Q38" s="14"/>
      <c r="R38" s="15">
        <f t="shared" si="8"/>
        <v>0</v>
      </c>
      <c r="S38" s="16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ht="22.5" customHeight="1">
      <c r="A39" s="39"/>
      <c r="B39" s="40"/>
      <c r="C39" s="39"/>
      <c r="D39" s="39"/>
      <c r="E39" s="8">
        <f t="shared" si="3"/>
        <v>0</v>
      </c>
      <c r="F39" s="8"/>
      <c r="G39" s="8"/>
      <c r="H39" s="8"/>
      <c r="I39" s="14"/>
      <c r="J39" s="14"/>
      <c r="K39" s="14"/>
      <c r="L39" s="14"/>
      <c r="M39" s="14"/>
      <c r="N39" s="14"/>
      <c r="O39" s="14"/>
      <c r="P39" s="14"/>
      <c r="Q39" s="14"/>
      <c r="R39" s="15">
        <f t="shared" si="8"/>
        <v>0</v>
      </c>
      <c r="S39" s="16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ht="22.5" customHeight="1">
      <c r="A40" s="39"/>
      <c r="B40" s="40"/>
      <c r="C40" s="39"/>
      <c r="D40" s="39"/>
      <c r="E40" s="8">
        <f t="shared" si="3"/>
        <v>0</v>
      </c>
      <c r="F40" s="8"/>
      <c r="G40" s="8"/>
      <c r="H40" s="8"/>
      <c r="I40" s="14"/>
      <c r="J40" s="14"/>
      <c r="K40" s="14"/>
      <c r="L40" s="14"/>
      <c r="M40" s="14"/>
      <c r="N40" s="14"/>
      <c r="O40" s="14"/>
      <c r="P40" s="14"/>
      <c r="Q40" s="14"/>
      <c r="R40" s="15">
        <f t="shared" si="8"/>
        <v>0</v>
      </c>
      <c r="S40" s="16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ht="22.5" customHeight="1">
      <c r="A41" s="39"/>
      <c r="B41" s="40"/>
      <c r="C41" s="39"/>
      <c r="D41" s="39"/>
      <c r="E41" s="8">
        <f t="shared" si="3"/>
        <v>0</v>
      </c>
      <c r="F41" s="8"/>
      <c r="G41" s="8"/>
      <c r="H41" s="8"/>
      <c r="I41" s="14"/>
      <c r="J41" s="14"/>
      <c r="K41" s="14"/>
      <c r="L41" s="14"/>
      <c r="M41" s="14"/>
      <c r="N41" s="14"/>
      <c r="O41" s="14"/>
      <c r="P41" s="14"/>
      <c r="Q41" s="14"/>
      <c r="R41" s="15">
        <f t="shared" si="8"/>
        <v>0</v>
      </c>
      <c r="S41" s="16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ht="22.5" customHeight="1">
      <c r="A42" s="39"/>
      <c r="B42" s="40"/>
      <c r="C42" s="39"/>
      <c r="D42" s="39"/>
      <c r="E42" s="8">
        <f t="shared" si="3"/>
        <v>0</v>
      </c>
      <c r="F42" s="8"/>
      <c r="G42" s="8"/>
      <c r="H42" s="8"/>
      <c r="I42" s="14"/>
      <c r="J42" s="14"/>
      <c r="K42" s="14"/>
      <c r="L42" s="14"/>
      <c r="M42" s="14"/>
      <c r="N42" s="14"/>
      <c r="O42" s="14"/>
      <c r="P42" s="14"/>
      <c r="Q42" s="14"/>
      <c r="R42" s="15">
        <f t="shared" si="8"/>
        <v>0</v>
      </c>
      <c r="S42" s="16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ht="22.5" customHeight="1">
      <c r="A43" s="39"/>
      <c r="B43" s="40"/>
      <c r="C43" s="39"/>
      <c r="D43" s="39"/>
      <c r="E43" s="8">
        <f t="shared" si="3"/>
        <v>0</v>
      </c>
      <c r="F43" s="8"/>
      <c r="G43" s="8"/>
      <c r="H43" s="8"/>
      <c r="I43" s="14"/>
      <c r="J43" s="14"/>
      <c r="K43" s="14"/>
      <c r="L43" s="14"/>
      <c r="M43" s="14"/>
      <c r="N43" s="14"/>
      <c r="O43" s="14"/>
      <c r="P43" s="14"/>
      <c r="Q43" s="14"/>
      <c r="R43" s="15">
        <f t="shared" si="8"/>
        <v>0</v>
      </c>
      <c r="S43" s="16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ht="22.5" customHeight="1">
      <c r="A44" s="39"/>
      <c r="B44" s="40"/>
      <c r="C44" s="39"/>
      <c r="D44" s="39"/>
      <c r="E44" s="8">
        <f t="shared" si="3"/>
        <v>0</v>
      </c>
      <c r="F44" s="8"/>
      <c r="G44" s="8"/>
      <c r="H44" s="8"/>
      <c r="I44" s="14"/>
      <c r="J44" s="14"/>
      <c r="K44" s="14"/>
      <c r="L44" s="14"/>
      <c r="M44" s="14"/>
      <c r="N44" s="14"/>
      <c r="O44" s="14"/>
      <c r="P44" s="14"/>
      <c r="Q44" s="14"/>
      <c r="R44" s="15">
        <f t="shared" si="8"/>
        <v>0</v>
      </c>
      <c r="S44" s="16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ht="22.5" customHeight="1">
      <c r="A45" s="39"/>
      <c r="B45" s="40"/>
      <c r="C45" s="39"/>
      <c r="D45" s="39"/>
      <c r="E45" s="8">
        <f t="shared" si="3"/>
        <v>0</v>
      </c>
      <c r="F45" s="8"/>
      <c r="G45" s="8"/>
      <c r="H45" s="8"/>
      <c r="I45" s="14"/>
      <c r="J45" s="14"/>
      <c r="K45" s="14"/>
      <c r="L45" s="14"/>
      <c r="M45" s="14"/>
      <c r="N45" s="14"/>
      <c r="O45" s="14"/>
      <c r="P45" s="14"/>
      <c r="Q45" s="14"/>
      <c r="R45" s="15">
        <f t="shared" si="8"/>
        <v>0</v>
      </c>
      <c r="S45" s="16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ht="22.5" customHeight="1">
      <c r="A46" s="39"/>
      <c r="B46" s="40"/>
      <c r="C46" s="39"/>
      <c r="D46" s="39"/>
      <c r="E46" s="8">
        <f t="shared" si="3"/>
        <v>0</v>
      </c>
      <c r="F46" s="8"/>
      <c r="G46" s="8"/>
      <c r="H46" s="8"/>
      <c r="I46" s="14"/>
      <c r="J46" s="14"/>
      <c r="K46" s="14"/>
      <c r="L46" s="14"/>
      <c r="M46" s="14"/>
      <c r="N46" s="14"/>
      <c r="O46" s="14"/>
      <c r="P46" s="14"/>
      <c r="Q46" s="14"/>
      <c r="R46" s="15">
        <f t="shared" si="8"/>
        <v>0</v>
      </c>
      <c r="S46" s="16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ht="22.5" customHeight="1">
      <c r="A47" s="39"/>
      <c r="B47" s="40"/>
      <c r="C47" s="39"/>
      <c r="D47" s="39"/>
      <c r="E47" s="8">
        <f t="shared" si="3"/>
        <v>0</v>
      </c>
      <c r="F47" s="8"/>
      <c r="G47" s="8"/>
      <c r="H47" s="8"/>
      <c r="I47" s="14"/>
      <c r="J47" s="14"/>
      <c r="K47" s="14"/>
      <c r="L47" s="14"/>
      <c r="M47" s="14"/>
      <c r="N47" s="14"/>
      <c r="O47" s="14"/>
      <c r="P47" s="14"/>
      <c r="Q47" s="14"/>
      <c r="R47" s="15">
        <f t="shared" si="8"/>
        <v>0</v>
      </c>
      <c r="S47" s="16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ht="22.5" customHeight="1">
      <c r="A48" s="39"/>
      <c r="B48" s="40"/>
      <c r="C48" s="39"/>
      <c r="D48" s="39"/>
      <c r="E48" s="8">
        <f t="shared" si="3"/>
        <v>0</v>
      </c>
      <c r="F48" s="8"/>
      <c r="G48" s="8"/>
      <c r="H48" s="8"/>
      <c r="I48" s="14"/>
      <c r="J48" s="14"/>
      <c r="K48" s="14"/>
      <c r="L48" s="14"/>
      <c r="M48" s="14"/>
      <c r="N48" s="14"/>
      <c r="O48" s="14"/>
      <c r="P48" s="14"/>
      <c r="Q48" s="14"/>
      <c r="R48" s="15">
        <f t="shared" si="8"/>
        <v>0</v>
      </c>
      <c r="S48" s="16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ht="22.5" customHeight="1">
      <c r="A49" s="39"/>
      <c r="B49" s="40"/>
      <c r="C49" s="39"/>
      <c r="D49" s="39"/>
      <c r="E49" s="8">
        <f t="shared" si="3"/>
        <v>0</v>
      </c>
      <c r="F49" s="8"/>
      <c r="G49" s="8"/>
      <c r="H49" s="8"/>
      <c r="I49" s="14"/>
      <c r="J49" s="14"/>
      <c r="K49" s="14"/>
      <c r="L49" s="14"/>
      <c r="M49" s="14"/>
      <c r="N49" s="14"/>
      <c r="O49" s="14"/>
      <c r="P49" s="14"/>
      <c r="Q49" s="14"/>
      <c r="R49" s="15">
        <f t="shared" si="8"/>
        <v>0</v>
      </c>
      <c r="S49" s="16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ht="22.5" customHeight="1">
      <c r="A50" s="39"/>
      <c r="B50" s="40"/>
      <c r="C50" s="39"/>
      <c r="D50" s="39"/>
      <c r="E50" s="8">
        <f t="shared" si="3"/>
        <v>0</v>
      </c>
      <c r="F50" s="8"/>
      <c r="G50" s="8"/>
      <c r="H50" s="8"/>
      <c r="I50" s="14"/>
      <c r="J50" s="14"/>
      <c r="K50" s="14"/>
      <c r="L50" s="14"/>
      <c r="M50" s="14"/>
      <c r="N50" s="14"/>
      <c r="O50" s="14"/>
      <c r="P50" s="14"/>
      <c r="Q50" s="14"/>
      <c r="R50" s="15">
        <f t="shared" si="8"/>
        <v>0</v>
      </c>
      <c r="S50" s="16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ht="22.5" customHeight="1">
      <c r="A51" s="39"/>
      <c r="B51" s="40"/>
      <c r="C51" s="39"/>
      <c r="D51" s="39"/>
      <c r="E51" s="8">
        <f t="shared" si="3"/>
        <v>0</v>
      </c>
      <c r="F51" s="8"/>
      <c r="G51" s="8"/>
      <c r="H51" s="8"/>
      <c r="I51" s="14"/>
      <c r="J51" s="14"/>
      <c r="K51" s="14"/>
      <c r="L51" s="14"/>
      <c r="M51" s="14"/>
      <c r="N51" s="14"/>
      <c r="O51" s="14"/>
      <c r="P51" s="14"/>
      <c r="Q51" s="14"/>
      <c r="R51" s="15">
        <f t="shared" si="8"/>
        <v>0</v>
      </c>
      <c r="S51" s="16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ht="22.5" customHeight="1">
      <c r="A52" s="39"/>
      <c r="B52" s="40"/>
      <c r="C52" s="39"/>
      <c r="D52" s="39"/>
      <c r="E52" s="8">
        <f t="shared" si="3"/>
        <v>0</v>
      </c>
      <c r="F52" s="8"/>
      <c r="G52" s="8"/>
      <c r="H52" s="8"/>
      <c r="I52" s="14"/>
      <c r="J52" s="14"/>
      <c r="K52" s="14"/>
      <c r="L52" s="14"/>
      <c r="M52" s="14"/>
      <c r="N52" s="14"/>
      <c r="O52" s="14"/>
      <c r="P52" s="14"/>
      <c r="Q52" s="14"/>
      <c r="R52" s="15">
        <f t="shared" si="8"/>
        <v>0</v>
      </c>
      <c r="S52" s="16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ht="22.5" customHeight="1">
      <c r="A53" s="39"/>
      <c r="B53" s="40"/>
      <c r="C53" s="39"/>
      <c r="D53" s="39"/>
      <c r="E53" s="8">
        <f t="shared" si="3"/>
        <v>0</v>
      </c>
      <c r="F53" s="8"/>
      <c r="G53" s="8"/>
      <c r="H53" s="8"/>
      <c r="I53" s="14"/>
      <c r="J53" s="14"/>
      <c r="K53" s="14"/>
      <c r="L53" s="14"/>
      <c r="M53" s="14"/>
      <c r="N53" s="14"/>
      <c r="O53" s="14"/>
      <c r="P53" s="14"/>
      <c r="Q53" s="14"/>
      <c r="R53" s="15">
        <f t="shared" si="8"/>
        <v>0</v>
      </c>
      <c r="S53" s="16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ht="22.5" customHeight="1">
      <c r="A54" s="39"/>
      <c r="B54" s="40"/>
      <c r="C54" s="39"/>
      <c r="D54" s="39"/>
      <c r="E54" s="8">
        <f t="shared" si="3"/>
        <v>0</v>
      </c>
      <c r="F54" s="8"/>
      <c r="G54" s="8"/>
      <c r="H54" s="8"/>
      <c r="I54" s="14"/>
      <c r="J54" s="14"/>
      <c r="K54" s="14"/>
      <c r="L54" s="14"/>
      <c r="M54" s="14"/>
      <c r="N54" s="14"/>
      <c r="O54" s="14"/>
      <c r="P54" s="14"/>
      <c r="Q54" s="14"/>
      <c r="R54" s="15">
        <f t="shared" si="8"/>
        <v>0</v>
      </c>
      <c r="S54" s="16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ht="22.5" customHeight="1">
      <c r="A55" s="39"/>
      <c r="B55" s="40"/>
      <c r="C55" s="39"/>
      <c r="D55" s="39"/>
      <c r="E55" s="8">
        <f t="shared" si="3"/>
        <v>0</v>
      </c>
      <c r="F55" s="8"/>
      <c r="G55" s="8"/>
      <c r="H55" s="8"/>
      <c r="I55" s="14"/>
      <c r="J55" s="14"/>
      <c r="K55" s="14"/>
      <c r="L55" s="14"/>
      <c r="M55" s="14"/>
      <c r="N55" s="14"/>
      <c r="O55" s="14"/>
      <c r="P55" s="14"/>
      <c r="Q55" s="14"/>
      <c r="R55" s="15">
        <f t="shared" si="8"/>
        <v>0</v>
      </c>
      <c r="S55" s="16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ht="22.5" customHeight="1">
      <c r="A56" s="39"/>
      <c r="B56" s="40"/>
      <c r="C56" s="39"/>
      <c r="D56" s="39"/>
      <c r="E56" s="8">
        <f t="shared" si="3"/>
        <v>0</v>
      </c>
      <c r="F56" s="8"/>
      <c r="G56" s="8"/>
      <c r="H56" s="8"/>
      <c r="I56" s="14"/>
      <c r="J56" s="14"/>
      <c r="K56" s="14"/>
      <c r="L56" s="14"/>
      <c r="M56" s="14"/>
      <c r="N56" s="14"/>
      <c r="O56" s="14"/>
      <c r="P56" s="14"/>
      <c r="Q56" s="14"/>
      <c r="R56" s="15">
        <f t="shared" si="8"/>
        <v>0</v>
      </c>
      <c r="S56" s="16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ht="22.5" customHeight="1">
      <c r="A57" s="39"/>
      <c r="B57" s="40"/>
      <c r="C57" s="39"/>
      <c r="D57" s="39"/>
      <c r="E57" s="8">
        <f t="shared" si="3"/>
        <v>0</v>
      </c>
      <c r="F57" s="8"/>
      <c r="G57" s="8"/>
      <c r="H57" s="8"/>
      <c r="I57" s="14"/>
      <c r="J57" s="14"/>
      <c r="K57" s="14"/>
      <c r="L57" s="14"/>
      <c r="M57" s="14"/>
      <c r="N57" s="14"/>
      <c r="O57" s="14"/>
      <c r="P57" s="14"/>
      <c r="Q57" s="14"/>
      <c r="R57" s="15">
        <f t="shared" si="8"/>
        <v>0</v>
      </c>
      <c r="S57" s="16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ht="22.5" customHeight="1">
      <c r="A58" s="39"/>
      <c r="B58" s="40"/>
      <c r="C58" s="39"/>
      <c r="D58" s="39"/>
      <c r="E58" s="8">
        <f t="shared" si="3"/>
        <v>0</v>
      </c>
      <c r="F58" s="8"/>
      <c r="G58" s="8"/>
      <c r="H58" s="8"/>
      <c r="I58" s="14"/>
      <c r="J58" s="14"/>
      <c r="K58" s="14"/>
      <c r="L58" s="14"/>
      <c r="M58" s="14"/>
      <c r="N58" s="14"/>
      <c r="O58" s="14"/>
      <c r="P58" s="14"/>
      <c r="Q58" s="14"/>
      <c r="R58" s="15">
        <f t="shared" si="8"/>
        <v>0</v>
      </c>
      <c r="S58" s="16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ht="22.5" customHeight="1">
      <c r="A59" s="39"/>
      <c r="B59" s="40"/>
      <c r="C59" s="39"/>
      <c r="D59" s="39"/>
      <c r="E59" s="8">
        <f t="shared" si="3"/>
        <v>0</v>
      </c>
      <c r="F59" s="8"/>
      <c r="G59" s="8"/>
      <c r="H59" s="8"/>
      <c r="I59" s="14"/>
      <c r="J59" s="14"/>
      <c r="K59" s="14"/>
      <c r="L59" s="14"/>
      <c r="M59" s="14"/>
      <c r="N59" s="14"/>
      <c r="O59" s="14"/>
      <c r="P59" s="14"/>
      <c r="Q59" s="14"/>
      <c r="R59" s="15">
        <f t="shared" si="8"/>
        <v>0</v>
      </c>
      <c r="S59" s="16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ht="22.5" customHeight="1">
      <c r="A60" s="39"/>
      <c r="B60" s="40"/>
      <c r="C60" s="39"/>
      <c r="D60" s="39"/>
      <c r="E60" s="8">
        <f t="shared" si="3"/>
        <v>0</v>
      </c>
      <c r="F60" s="8"/>
      <c r="G60" s="8"/>
      <c r="H60" s="8"/>
      <c r="I60" s="14"/>
      <c r="J60" s="14"/>
      <c r="K60" s="14"/>
      <c r="L60" s="14"/>
      <c r="M60" s="14"/>
      <c r="N60" s="14"/>
      <c r="O60" s="14"/>
      <c r="P60" s="14"/>
      <c r="Q60" s="14"/>
      <c r="R60" s="15">
        <f t="shared" si="8"/>
        <v>0</v>
      </c>
      <c r="S60" s="16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ht="22.5" customHeight="1">
      <c r="A61" s="39"/>
      <c r="B61" s="40"/>
      <c r="C61" s="39"/>
      <c r="D61" s="39"/>
      <c r="E61" s="8">
        <f t="shared" si="3"/>
        <v>0</v>
      </c>
      <c r="F61" s="8"/>
      <c r="G61" s="8"/>
      <c r="H61" s="8"/>
      <c r="I61" s="14"/>
      <c r="J61" s="14"/>
      <c r="K61" s="14"/>
      <c r="L61" s="14"/>
      <c r="M61" s="14"/>
      <c r="N61" s="14"/>
      <c r="O61" s="14"/>
      <c r="P61" s="14"/>
      <c r="Q61" s="14"/>
      <c r="R61" s="15">
        <f t="shared" si="8"/>
        <v>0</v>
      </c>
      <c r="S61" s="16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ht="22.5" customHeight="1">
      <c r="A62" s="39"/>
      <c r="B62" s="40"/>
      <c r="C62" s="39"/>
      <c r="D62" s="39"/>
      <c r="E62" s="8">
        <f t="shared" si="3"/>
        <v>0</v>
      </c>
      <c r="F62" s="8"/>
      <c r="G62" s="8"/>
      <c r="H62" s="8"/>
      <c r="I62" s="14"/>
      <c r="J62" s="14"/>
      <c r="K62" s="14"/>
      <c r="L62" s="14"/>
      <c r="M62" s="14"/>
      <c r="N62" s="14"/>
      <c r="O62" s="14"/>
      <c r="P62" s="14"/>
      <c r="Q62" s="14"/>
      <c r="R62" s="15">
        <f t="shared" si="8"/>
        <v>0</v>
      </c>
      <c r="S62" s="16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ht="22.5" customHeight="1">
      <c r="A63" s="39"/>
      <c r="B63" s="40"/>
      <c r="C63" s="39"/>
      <c r="D63" s="39"/>
      <c r="E63" s="8">
        <f t="shared" si="3"/>
        <v>0</v>
      </c>
      <c r="F63" s="8"/>
      <c r="G63" s="8"/>
      <c r="H63" s="8"/>
      <c r="I63" s="14"/>
      <c r="J63" s="14"/>
      <c r="K63" s="14"/>
      <c r="L63" s="14"/>
      <c r="M63" s="14"/>
      <c r="N63" s="14"/>
      <c r="O63" s="14"/>
      <c r="P63" s="14"/>
      <c r="Q63" s="14"/>
      <c r="R63" s="15">
        <f t="shared" si="8"/>
        <v>0</v>
      </c>
      <c r="S63" s="16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ht="22.5" customHeight="1">
      <c r="A64" s="39"/>
      <c r="B64" s="40"/>
      <c r="C64" s="39"/>
      <c r="D64" s="39"/>
      <c r="E64" s="8">
        <f t="shared" si="3"/>
        <v>0</v>
      </c>
      <c r="F64" s="8"/>
      <c r="G64" s="8"/>
      <c r="H64" s="8"/>
      <c r="I64" s="14"/>
      <c r="J64" s="14"/>
      <c r="K64" s="14"/>
      <c r="L64" s="14"/>
      <c r="M64" s="14"/>
      <c r="N64" s="14"/>
      <c r="O64" s="14"/>
      <c r="P64" s="14"/>
      <c r="Q64" s="14"/>
      <c r="R64" s="15">
        <f t="shared" si="8"/>
        <v>0</v>
      </c>
      <c r="S64" s="16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ht="22.5" customHeight="1">
      <c r="A65" s="39"/>
      <c r="B65" s="40"/>
      <c r="C65" s="39"/>
      <c r="D65" s="39"/>
      <c r="E65" s="8">
        <f t="shared" si="3"/>
        <v>0</v>
      </c>
      <c r="F65" s="8"/>
      <c r="G65" s="8"/>
      <c r="H65" s="8"/>
      <c r="I65" s="14"/>
      <c r="J65" s="14"/>
      <c r="K65" s="14"/>
      <c r="L65" s="14"/>
      <c r="M65" s="14"/>
      <c r="N65" s="14"/>
      <c r="O65" s="14"/>
      <c r="P65" s="14"/>
      <c r="Q65" s="14"/>
      <c r="R65" s="15">
        <f t="shared" si="8"/>
        <v>0</v>
      </c>
      <c r="S65" s="16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ht="22.5" customHeight="1">
      <c r="A66" s="39"/>
      <c r="B66" s="40"/>
      <c r="C66" s="39"/>
      <c r="D66" s="39"/>
      <c r="E66" s="8">
        <f t="shared" si="3"/>
        <v>0</v>
      </c>
      <c r="F66" s="8"/>
      <c r="G66" s="8"/>
      <c r="H66" s="8"/>
      <c r="I66" s="14"/>
      <c r="J66" s="14"/>
      <c r="K66" s="14"/>
      <c r="L66" s="14"/>
      <c r="M66" s="14"/>
      <c r="N66" s="14"/>
      <c r="O66" s="14"/>
      <c r="P66" s="14"/>
      <c r="Q66" s="14"/>
      <c r="R66" s="15">
        <f t="shared" si="8"/>
        <v>0</v>
      </c>
      <c r="S66" s="16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ht="22.5" customHeight="1">
      <c r="A67" s="39"/>
      <c r="B67" s="40"/>
      <c r="C67" s="39"/>
      <c r="D67" s="39"/>
      <c r="E67" s="8">
        <f t="shared" si="3"/>
        <v>0</v>
      </c>
      <c r="F67" s="8"/>
      <c r="G67" s="8"/>
      <c r="H67" s="8"/>
      <c r="I67" s="14"/>
      <c r="J67" s="14"/>
      <c r="K67" s="14"/>
      <c r="L67" s="14"/>
      <c r="M67" s="14"/>
      <c r="N67" s="14"/>
      <c r="O67" s="14"/>
      <c r="P67" s="14"/>
      <c r="Q67" s="14"/>
      <c r="R67" s="15">
        <f t="shared" si="8"/>
        <v>0</v>
      </c>
      <c r="S67" s="16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ht="22.5" customHeight="1">
      <c r="A68" s="39"/>
      <c r="B68" s="40"/>
      <c r="C68" s="39"/>
      <c r="D68" s="39"/>
      <c r="E68" s="8">
        <f t="shared" si="3"/>
        <v>0</v>
      </c>
      <c r="F68" s="8"/>
      <c r="G68" s="8"/>
      <c r="H68" s="8"/>
      <c r="I68" s="14"/>
      <c r="J68" s="14"/>
      <c r="K68" s="14"/>
      <c r="L68" s="14"/>
      <c r="M68" s="14"/>
      <c r="N68" s="14"/>
      <c r="O68" s="14"/>
      <c r="P68" s="14"/>
      <c r="Q68" s="14"/>
      <c r="R68" s="15">
        <f t="shared" si="8"/>
        <v>0</v>
      </c>
      <c r="S68" s="16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ht="22.5" customHeight="1">
      <c r="A69" s="39"/>
      <c r="B69" s="40"/>
      <c r="C69" s="39"/>
      <c r="D69" s="39"/>
      <c r="E69" s="8">
        <f t="shared" si="3"/>
        <v>0</v>
      </c>
      <c r="F69" s="8"/>
      <c r="G69" s="8"/>
      <c r="H69" s="8"/>
      <c r="I69" s="14"/>
      <c r="J69" s="14"/>
      <c r="K69" s="14"/>
      <c r="L69" s="14"/>
      <c r="M69" s="14"/>
      <c r="N69" s="14"/>
      <c r="O69" s="14"/>
      <c r="P69" s="14"/>
      <c r="Q69" s="14"/>
      <c r="R69" s="15">
        <f t="shared" si="8"/>
        <v>0</v>
      </c>
      <c r="S69" s="16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ht="22.5" customHeight="1">
      <c r="A70" s="39"/>
      <c r="B70" s="40"/>
      <c r="C70" s="39"/>
      <c r="D70" s="39"/>
      <c r="E70" s="8">
        <f t="shared" si="3"/>
        <v>0</v>
      </c>
      <c r="F70" s="8"/>
      <c r="G70" s="8"/>
      <c r="H70" s="8"/>
      <c r="I70" s="14"/>
      <c r="J70" s="14"/>
      <c r="K70" s="14"/>
      <c r="L70" s="14"/>
      <c r="M70" s="14"/>
      <c r="N70" s="14"/>
      <c r="O70" s="14"/>
      <c r="P70" s="14"/>
      <c r="Q70" s="14"/>
      <c r="R70" s="15">
        <f t="shared" si="8"/>
        <v>0</v>
      </c>
      <c r="S70" s="16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ht="22.5" customHeight="1">
      <c r="A71" s="39"/>
      <c r="B71" s="40"/>
      <c r="C71" s="39"/>
      <c r="D71" s="39"/>
      <c r="E71" s="8">
        <f t="shared" si="3"/>
        <v>0</v>
      </c>
      <c r="F71" s="8"/>
      <c r="G71" s="8"/>
      <c r="H71" s="8"/>
      <c r="I71" s="14"/>
      <c r="J71" s="14"/>
      <c r="K71" s="14"/>
      <c r="L71" s="14"/>
      <c r="M71" s="14"/>
      <c r="N71" s="14"/>
      <c r="O71" s="14"/>
      <c r="P71" s="14"/>
      <c r="Q71" s="14"/>
      <c r="R71" s="15">
        <f t="shared" si="8"/>
        <v>0</v>
      </c>
      <c r="S71" s="16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ht="22.5" customHeight="1">
      <c r="A72" s="39"/>
      <c r="B72" s="40"/>
      <c r="C72" s="39"/>
      <c r="D72" s="39"/>
      <c r="E72" s="8">
        <f t="shared" si="3"/>
        <v>0</v>
      </c>
      <c r="F72" s="8"/>
      <c r="G72" s="8"/>
      <c r="H72" s="8"/>
      <c r="I72" s="14"/>
      <c r="J72" s="14"/>
      <c r="K72" s="14"/>
      <c r="L72" s="14"/>
      <c r="M72" s="14"/>
      <c r="N72" s="14"/>
      <c r="O72" s="14"/>
      <c r="P72" s="14"/>
      <c r="Q72" s="14"/>
      <c r="R72" s="15">
        <f t="shared" si="8"/>
        <v>0</v>
      </c>
      <c r="S72" s="16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ht="22.5" customHeight="1">
      <c r="A73" s="39"/>
      <c r="B73" s="40"/>
      <c r="C73" s="39"/>
      <c r="D73" s="39"/>
      <c r="E73" s="8">
        <f t="shared" si="3"/>
        <v>0</v>
      </c>
      <c r="F73" s="8"/>
      <c r="G73" s="8"/>
      <c r="H73" s="8"/>
      <c r="I73" s="14"/>
      <c r="J73" s="14"/>
      <c r="K73" s="14"/>
      <c r="L73" s="14"/>
      <c r="M73" s="14"/>
      <c r="N73" s="14"/>
      <c r="O73" s="14"/>
      <c r="P73" s="14"/>
      <c r="Q73" s="14"/>
      <c r="R73" s="15">
        <f t="shared" si="8"/>
        <v>0</v>
      </c>
      <c r="S73" s="16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ht="22.5" customHeight="1">
      <c r="A74" s="39"/>
      <c r="B74" s="40"/>
      <c r="C74" s="39"/>
      <c r="D74" s="39"/>
      <c r="E74" s="8">
        <f t="shared" si="3"/>
        <v>0</v>
      </c>
      <c r="F74" s="8"/>
      <c r="G74" s="8"/>
      <c r="H74" s="8"/>
      <c r="I74" s="14"/>
      <c r="J74" s="14"/>
      <c r="K74" s="14"/>
      <c r="L74" s="14"/>
      <c r="M74" s="14"/>
      <c r="N74" s="14"/>
      <c r="O74" s="14"/>
      <c r="P74" s="14"/>
      <c r="Q74" s="14"/>
      <c r="R74" s="15">
        <f t="shared" si="8"/>
        <v>0</v>
      </c>
      <c r="S74" s="16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ht="22.5" customHeight="1">
      <c r="A75" s="39"/>
      <c r="B75" s="40"/>
      <c r="C75" s="39"/>
      <c r="D75" s="39"/>
      <c r="E75" s="8">
        <f t="shared" si="3"/>
        <v>0</v>
      </c>
      <c r="F75" s="8"/>
      <c r="G75" s="8"/>
      <c r="H75" s="8"/>
      <c r="I75" s="14"/>
      <c r="J75" s="14"/>
      <c r="K75" s="14"/>
      <c r="L75" s="14"/>
      <c r="M75" s="14"/>
      <c r="N75" s="14"/>
      <c r="O75" s="14"/>
      <c r="P75" s="14"/>
      <c r="Q75" s="14"/>
      <c r="R75" s="15">
        <f t="shared" si="8"/>
        <v>0</v>
      </c>
      <c r="S75" s="16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ht="22.5" customHeight="1">
      <c r="A76" s="39"/>
      <c r="B76" s="40"/>
      <c r="C76" s="39"/>
      <c r="D76" s="39"/>
      <c r="E76" s="8">
        <f t="shared" si="3"/>
        <v>0</v>
      </c>
      <c r="F76" s="8"/>
      <c r="G76" s="8"/>
      <c r="H76" s="8"/>
      <c r="I76" s="14"/>
      <c r="J76" s="14"/>
      <c r="K76" s="14"/>
      <c r="L76" s="14"/>
      <c r="M76" s="14"/>
      <c r="N76" s="14"/>
      <c r="O76" s="14"/>
      <c r="P76" s="14"/>
      <c r="Q76" s="14"/>
      <c r="R76" s="15">
        <f t="shared" si="8"/>
        <v>0</v>
      </c>
      <c r="S76" s="16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ht="22.5" customHeight="1">
      <c r="A77" s="39"/>
      <c r="B77" s="40"/>
      <c r="C77" s="39"/>
      <c r="D77" s="39"/>
      <c r="E77" s="8">
        <f t="shared" si="3"/>
        <v>0</v>
      </c>
      <c r="F77" s="8"/>
      <c r="G77" s="8"/>
      <c r="H77" s="8"/>
      <c r="I77" s="14"/>
      <c r="J77" s="14"/>
      <c r="K77" s="14"/>
      <c r="L77" s="14"/>
      <c r="M77" s="14"/>
      <c r="N77" s="14"/>
      <c r="O77" s="14"/>
      <c r="P77" s="14"/>
      <c r="Q77" s="14"/>
      <c r="R77" s="15">
        <f t="shared" si="8"/>
        <v>0</v>
      </c>
      <c r="S77" s="16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ht="22.5" customHeight="1">
      <c r="A78" s="39"/>
      <c r="B78" s="40"/>
      <c r="C78" s="39"/>
      <c r="D78" s="39"/>
      <c r="E78" s="8">
        <f t="shared" si="3"/>
        <v>0</v>
      </c>
      <c r="F78" s="8"/>
      <c r="G78" s="8"/>
      <c r="H78" s="8"/>
      <c r="I78" s="14"/>
      <c r="J78" s="14"/>
      <c r="K78" s="14"/>
      <c r="L78" s="14"/>
      <c r="M78" s="14"/>
      <c r="N78" s="14"/>
      <c r="O78" s="14"/>
      <c r="P78" s="14"/>
      <c r="Q78" s="14"/>
      <c r="R78" s="15">
        <f t="shared" si="8"/>
        <v>0</v>
      </c>
      <c r="S78" s="16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ht="22.5" customHeight="1">
      <c r="A79" s="39"/>
      <c r="B79" s="40"/>
      <c r="C79" s="39"/>
      <c r="D79" s="39"/>
      <c r="E79" s="8">
        <f t="shared" si="3"/>
        <v>0</v>
      </c>
      <c r="F79" s="8"/>
      <c r="G79" s="8"/>
      <c r="H79" s="8"/>
      <c r="I79" s="14"/>
      <c r="J79" s="14"/>
      <c r="K79" s="14"/>
      <c r="L79" s="14"/>
      <c r="M79" s="14"/>
      <c r="N79" s="14"/>
      <c r="O79" s="14"/>
      <c r="P79" s="14"/>
      <c r="Q79" s="14"/>
      <c r="R79" s="15">
        <f t="shared" si="8"/>
        <v>0</v>
      </c>
      <c r="S79" s="16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ht="22.5" customHeight="1">
      <c r="A80" s="39"/>
      <c r="B80" s="40"/>
      <c r="C80" s="39"/>
      <c r="D80" s="39"/>
      <c r="E80" s="8">
        <f t="shared" si="3"/>
        <v>0</v>
      </c>
      <c r="F80" s="8"/>
      <c r="G80" s="8"/>
      <c r="H80" s="8"/>
      <c r="I80" s="14"/>
      <c r="J80" s="14"/>
      <c r="K80" s="14"/>
      <c r="L80" s="14"/>
      <c r="M80" s="14"/>
      <c r="N80" s="14"/>
      <c r="O80" s="14"/>
      <c r="P80" s="14"/>
      <c r="Q80" s="14"/>
      <c r="R80" s="15">
        <f t="shared" si="8"/>
        <v>0</v>
      </c>
      <c r="S80" s="16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ht="22.5" customHeight="1">
      <c r="A81" s="39"/>
      <c r="B81" s="40"/>
      <c r="C81" s="39"/>
      <c r="D81" s="39"/>
      <c r="E81" s="8">
        <f t="shared" si="3"/>
        <v>0</v>
      </c>
      <c r="F81" s="8"/>
      <c r="G81" s="8"/>
      <c r="H81" s="8"/>
      <c r="I81" s="14"/>
      <c r="J81" s="14"/>
      <c r="K81" s="14"/>
      <c r="L81" s="14"/>
      <c r="M81" s="14"/>
      <c r="N81" s="14"/>
      <c r="O81" s="14"/>
      <c r="P81" s="14"/>
      <c r="Q81" s="14"/>
      <c r="R81" s="15">
        <f t="shared" si="8"/>
        <v>0</v>
      </c>
      <c r="S81" s="16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ht="22.5" customHeight="1">
      <c r="A82" s="39"/>
      <c r="B82" s="40"/>
      <c r="C82" s="39"/>
      <c r="D82" s="39"/>
      <c r="E82" s="8">
        <f t="shared" si="3"/>
        <v>0</v>
      </c>
      <c r="F82" s="8"/>
      <c r="G82" s="8"/>
      <c r="H82" s="8"/>
      <c r="I82" s="14"/>
      <c r="J82" s="14"/>
      <c r="K82" s="14"/>
      <c r="L82" s="14"/>
      <c r="M82" s="14"/>
      <c r="N82" s="14"/>
      <c r="O82" s="14"/>
      <c r="P82" s="14"/>
      <c r="Q82" s="14"/>
      <c r="R82" s="15">
        <f t="shared" si="8"/>
        <v>0</v>
      </c>
      <c r="S82" s="16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ht="22.5" customHeight="1">
      <c r="A83" s="39"/>
      <c r="B83" s="40"/>
      <c r="C83" s="39"/>
      <c r="D83" s="39"/>
      <c r="E83" s="8">
        <f t="shared" si="3"/>
        <v>0</v>
      </c>
      <c r="F83" s="8"/>
      <c r="G83" s="8"/>
      <c r="H83" s="8"/>
      <c r="I83" s="14"/>
      <c r="J83" s="14"/>
      <c r="K83" s="14"/>
      <c r="L83" s="14"/>
      <c r="M83" s="14"/>
      <c r="N83" s="14"/>
      <c r="O83" s="14"/>
      <c r="P83" s="14"/>
      <c r="Q83" s="14"/>
      <c r="R83" s="15">
        <f t="shared" si="8"/>
        <v>0</v>
      </c>
      <c r="S83" s="16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ht="22.5" customHeight="1">
      <c r="A84" s="39"/>
      <c r="B84" s="40"/>
      <c r="C84" s="39"/>
      <c r="D84" s="39"/>
      <c r="E84" s="8">
        <f t="shared" si="3"/>
        <v>0</v>
      </c>
      <c r="F84" s="8"/>
      <c r="G84" s="8"/>
      <c r="H84" s="8"/>
      <c r="I84" s="14"/>
      <c r="J84" s="14"/>
      <c r="K84" s="14"/>
      <c r="L84" s="14"/>
      <c r="M84" s="14"/>
      <c r="N84" s="14"/>
      <c r="O84" s="14"/>
      <c r="P84" s="14"/>
      <c r="Q84" s="14"/>
      <c r="R84" s="15">
        <f t="shared" si="8"/>
        <v>0</v>
      </c>
      <c r="S84" s="16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ht="22.5" customHeight="1">
      <c r="A85" s="39"/>
      <c r="B85" s="40"/>
      <c r="C85" s="39"/>
      <c r="D85" s="39"/>
      <c r="E85" s="8">
        <f t="shared" si="3"/>
        <v>0</v>
      </c>
      <c r="F85" s="8"/>
      <c r="G85" s="8"/>
      <c r="H85" s="8"/>
      <c r="I85" s="14"/>
      <c r="J85" s="14"/>
      <c r="K85" s="14"/>
      <c r="L85" s="14"/>
      <c r="M85" s="14"/>
      <c r="N85" s="14"/>
      <c r="O85" s="14"/>
      <c r="P85" s="14"/>
      <c r="Q85" s="14"/>
      <c r="R85" s="15">
        <f t="shared" si="8"/>
        <v>0</v>
      </c>
      <c r="S85" s="16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ht="22.5" customHeight="1">
      <c r="A86" s="39"/>
      <c r="B86" s="40"/>
      <c r="C86" s="39"/>
      <c r="D86" s="39"/>
      <c r="E86" s="8">
        <f t="shared" si="3"/>
        <v>0</v>
      </c>
      <c r="F86" s="8"/>
      <c r="G86" s="8"/>
      <c r="H86" s="8"/>
      <c r="I86" s="14"/>
      <c r="J86" s="14"/>
      <c r="K86" s="14"/>
      <c r="L86" s="14"/>
      <c r="M86" s="14"/>
      <c r="N86" s="14"/>
      <c r="O86" s="14"/>
      <c r="P86" s="14"/>
      <c r="Q86" s="14"/>
      <c r="R86" s="15">
        <f t="shared" si="8"/>
        <v>0</v>
      </c>
      <c r="S86" s="16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ht="22.5" customHeight="1">
      <c r="A87" s="39"/>
      <c r="B87" s="40"/>
      <c r="C87" s="39"/>
      <c r="D87" s="39"/>
      <c r="E87" s="8">
        <f t="shared" si="3"/>
        <v>0</v>
      </c>
      <c r="F87" s="8"/>
      <c r="G87" s="8"/>
      <c r="H87" s="8"/>
      <c r="I87" s="14"/>
      <c r="J87" s="14"/>
      <c r="K87" s="14"/>
      <c r="L87" s="14"/>
      <c r="M87" s="14"/>
      <c r="N87" s="14"/>
      <c r="O87" s="14"/>
      <c r="P87" s="14"/>
      <c r="Q87" s="14"/>
      <c r="R87" s="15">
        <f t="shared" si="8"/>
        <v>0</v>
      </c>
      <c r="S87" s="16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ht="22.5" customHeight="1">
      <c r="A88" s="39"/>
      <c r="B88" s="40"/>
      <c r="C88" s="39"/>
      <c r="D88" s="39"/>
      <c r="E88" s="8">
        <f t="shared" si="3"/>
        <v>0</v>
      </c>
      <c r="F88" s="8"/>
      <c r="G88" s="8"/>
      <c r="H88" s="8"/>
      <c r="I88" s="14"/>
      <c r="J88" s="14"/>
      <c r="K88" s="14"/>
      <c r="L88" s="14"/>
      <c r="M88" s="14"/>
      <c r="N88" s="14"/>
      <c r="O88" s="14"/>
      <c r="P88" s="14"/>
      <c r="Q88" s="14"/>
      <c r="R88" s="15">
        <f t="shared" si="8"/>
        <v>0</v>
      </c>
      <c r="S88" s="16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ht="22.5" customHeight="1">
      <c r="A89" s="39"/>
      <c r="B89" s="40"/>
      <c r="C89" s="39"/>
      <c r="D89" s="39"/>
      <c r="E89" s="8">
        <f t="shared" si="3"/>
        <v>0</v>
      </c>
      <c r="F89" s="8"/>
      <c r="G89" s="8"/>
      <c r="H89" s="8"/>
      <c r="I89" s="14"/>
      <c r="J89" s="14"/>
      <c r="K89" s="14"/>
      <c r="L89" s="14"/>
      <c r="M89" s="14"/>
      <c r="N89" s="14"/>
      <c r="O89" s="14"/>
      <c r="P89" s="14"/>
      <c r="Q89" s="14"/>
      <c r="R89" s="15">
        <f t="shared" si="8"/>
        <v>0</v>
      </c>
      <c r="S89" s="16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ht="22.5" customHeight="1">
      <c r="A90" s="39"/>
      <c r="B90" s="40"/>
      <c r="C90" s="39"/>
      <c r="D90" s="39"/>
      <c r="E90" s="8">
        <f t="shared" si="3"/>
        <v>0</v>
      </c>
      <c r="F90" s="8"/>
      <c r="G90" s="8"/>
      <c r="H90" s="8"/>
      <c r="I90" s="14"/>
      <c r="J90" s="14"/>
      <c r="K90" s="14"/>
      <c r="L90" s="14"/>
      <c r="M90" s="14"/>
      <c r="N90" s="14"/>
      <c r="O90" s="14"/>
      <c r="P90" s="14"/>
      <c r="Q90" s="14"/>
      <c r="R90" s="15">
        <f t="shared" si="8"/>
        <v>0</v>
      </c>
      <c r="S90" s="16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ht="22.5" customHeight="1">
      <c r="A91" s="39"/>
      <c r="B91" s="40"/>
      <c r="C91" s="39"/>
      <c r="D91" s="39"/>
      <c r="E91" s="8">
        <f t="shared" si="3"/>
        <v>0</v>
      </c>
      <c r="F91" s="8"/>
      <c r="G91" s="8"/>
      <c r="H91" s="8"/>
      <c r="I91" s="14"/>
      <c r="J91" s="14"/>
      <c r="K91" s="14"/>
      <c r="L91" s="14"/>
      <c r="M91" s="14"/>
      <c r="N91" s="14"/>
      <c r="O91" s="14"/>
      <c r="P91" s="14"/>
      <c r="Q91" s="14"/>
      <c r="R91" s="15">
        <f t="shared" si="8"/>
        <v>0</v>
      </c>
      <c r="S91" s="16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ht="22.5" customHeight="1">
      <c r="A92" s="39"/>
      <c r="B92" s="40"/>
      <c r="C92" s="39"/>
      <c r="D92" s="39"/>
      <c r="E92" s="8">
        <f t="shared" si="3"/>
        <v>0</v>
      </c>
      <c r="F92" s="8"/>
      <c r="G92" s="8"/>
      <c r="H92" s="8"/>
      <c r="I92" s="14"/>
      <c r="J92" s="14"/>
      <c r="K92" s="14"/>
      <c r="L92" s="14"/>
      <c r="M92" s="14"/>
      <c r="N92" s="14"/>
      <c r="O92" s="14"/>
      <c r="P92" s="14"/>
      <c r="Q92" s="14"/>
      <c r="R92" s="15">
        <f t="shared" si="8"/>
        <v>0</v>
      </c>
      <c r="S92" s="16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ht="22.5" customHeight="1">
      <c r="A93" s="39"/>
      <c r="B93" s="40"/>
      <c r="C93" s="39"/>
      <c r="D93" s="39"/>
      <c r="E93" s="8">
        <f t="shared" si="3"/>
        <v>0</v>
      </c>
      <c r="F93" s="8"/>
      <c r="G93" s="8"/>
      <c r="H93" s="8"/>
      <c r="I93" s="14"/>
      <c r="J93" s="14"/>
      <c r="K93" s="14"/>
      <c r="L93" s="14"/>
      <c r="M93" s="14"/>
      <c r="N93" s="14"/>
      <c r="O93" s="14"/>
      <c r="P93" s="14"/>
      <c r="Q93" s="14"/>
      <c r="R93" s="15">
        <f t="shared" si="8"/>
        <v>0</v>
      </c>
      <c r="S93" s="16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ht="22.5" customHeight="1">
      <c r="A94" s="39"/>
      <c r="B94" s="40"/>
      <c r="C94" s="39"/>
      <c r="D94" s="39"/>
      <c r="E94" s="8">
        <f t="shared" si="3"/>
        <v>0</v>
      </c>
      <c r="F94" s="8"/>
      <c r="G94" s="8"/>
      <c r="H94" s="8"/>
      <c r="I94" s="14"/>
      <c r="J94" s="14"/>
      <c r="K94" s="14"/>
      <c r="L94" s="14"/>
      <c r="M94" s="14"/>
      <c r="N94" s="14"/>
      <c r="O94" s="14"/>
      <c r="P94" s="14"/>
      <c r="Q94" s="14"/>
      <c r="R94" s="15">
        <f t="shared" si="8"/>
        <v>0</v>
      </c>
      <c r="S94" s="16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ht="22.5" customHeight="1">
      <c r="A95" s="39"/>
      <c r="B95" s="40"/>
      <c r="C95" s="39"/>
      <c r="D95" s="39"/>
      <c r="E95" s="8">
        <f t="shared" si="3"/>
        <v>0</v>
      </c>
      <c r="F95" s="8"/>
      <c r="G95" s="8"/>
      <c r="H95" s="8"/>
      <c r="I95" s="14"/>
      <c r="J95" s="14"/>
      <c r="K95" s="14"/>
      <c r="L95" s="14"/>
      <c r="M95" s="14"/>
      <c r="N95" s="14"/>
      <c r="O95" s="14"/>
      <c r="P95" s="14"/>
      <c r="Q95" s="14"/>
      <c r="R95" s="15">
        <f t="shared" si="8"/>
        <v>0</v>
      </c>
      <c r="S95" s="16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ht="22.5" customHeight="1">
      <c r="A96" s="39"/>
      <c r="B96" s="40"/>
      <c r="C96" s="39"/>
      <c r="D96" s="39"/>
      <c r="E96" s="8">
        <f t="shared" si="3"/>
        <v>0</v>
      </c>
      <c r="F96" s="8"/>
      <c r="G96" s="8"/>
      <c r="H96" s="8"/>
      <c r="I96" s="14"/>
      <c r="J96" s="14"/>
      <c r="K96" s="14"/>
      <c r="L96" s="14"/>
      <c r="M96" s="14"/>
      <c r="N96" s="14"/>
      <c r="O96" s="14"/>
      <c r="P96" s="14"/>
      <c r="Q96" s="14"/>
      <c r="R96" s="15">
        <f t="shared" si="8"/>
        <v>0</v>
      </c>
      <c r="S96" s="16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ht="22.5" customHeight="1">
      <c r="A97" s="39"/>
      <c r="B97" s="40"/>
      <c r="C97" s="39"/>
      <c r="D97" s="39"/>
      <c r="E97" s="8">
        <f t="shared" si="3"/>
        <v>0</v>
      </c>
      <c r="F97" s="8"/>
      <c r="G97" s="8"/>
      <c r="H97" s="8"/>
      <c r="I97" s="14"/>
      <c r="J97" s="14"/>
      <c r="K97" s="14"/>
      <c r="L97" s="14"/>
      <c r="M97" s="14"/>
      <c r="N97" s="14"/>
      <c r="O97" s="14"/>
      <c r="P97" s="14"/>
      <c r="Q97" s="14"/>
      <c r="R97" s="15">
        <f t="shared" si="8"/>
        <v>0</v>
      </c>
      <c r="S97" s="16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ht="22.5" customHeight="1">
      <c r="A98" s="39"/>
      <c r="B98" s="40"/>
      <c r="C98" s="39"/>
      <c r="D98" s="39"/>
      <c r="E98" s="8">
        <f t="shared" si="3"/>
        <v>0</v>
      </c>
      <c r="F98" s="8"/>
      <c r="G98" s="8"/>
      <c r="H98" s="8"/>
      <c r="I98" s="14"/>
      <c r="J98" s="14"/>
      <c r="K98" s="14"/>
      <c r="L98" s="14"/>
      <c r="M98" s="14"/>
      <c r="N98" s="14"/>
      <c r="O98" s="14"/>
      <c r="P98" s="14"/>
      <c r="Q98" s="14"/>
      <c r="R98" s="15">
        <f t="shared" si="8"/>
        <v>0</v>
      </c>
      <c r="S98" s="16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ht="22.5" customHeight="1">
      <c r="A99" s="39"/>
      <c r="B99" s="40"/>
      <c r="C99" s="39"/>
      <c r="D99" s="39"/>
      <c r="E99" s="8">
        <f t="shared" si="3"/>
        <v>0</v>
      </c>
      <c r="F99" s="8"/>
      <c r="G99" s="8"/>
      <c r="H99" s="8"/>
      <c r="I99" s="14"/>
      <c r="J99" s="14"/>
      <c r="K99" s="14"/>
      <c r="L99" s="14"/>
      <c r="M99" s="14"/>
      <c r="N99" s="14"/>
      <c r="O99" s="14"/>
      <c r="P99" s="14"/>
      <c r="Q99" s="14"/>
      <c r="R99" s="15">
        <f t="shared" si="8"/>
        <v>0</v>
      </c>
      <c r="S99" s="16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ht="22.5" customHeight="1">
      <c r="A100" s="39"/>
      <c r="B100" s="40"/>
      <c r="C100" s="39"/>
      <c r="D100" s="39"/>
      <c r="E100" s="8">
        <f t="shared" si="3"/>
        <v>0</v>
      </c>
      <c r="F100" s="8"/>
      <c r="G100" s="8"/>
      <c r="H100" s="8"/>
      <c r="I100" s="14"/>
      <c r="J100" s="14"/>
      <c r="K100" s="14"/>
      <c r="L100" s="14"/>
      <c r="M100" s="14"/>
      <c r="N100" s="14"/>
      <c r="O100" s="14"/>
      <c r="P100" s="14"/>
      <c r="Q100" s="14"/>
      <c r="R100" s="15">
        <f t="shared" si="8"/>
        <v>0</v>
      </c>
      <c r="S100" s="16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ht="22.5" customHeight="1">
      <c r="A101" s="39"/>
      <c r="B101" s="40"/>
      <c r="C101" s="39"/>
      <c r="D101" s="39"/>
      <c r="E101" s="8">
        <f t="shared" si="3"/>
        <v>0</v>
      </c>
      <c r="F101" s="8"/>
      <c r="G101" s="8"/>
      <c r="H101" s="8"/>
      <c r="I101" s="14"/>
      <c r="J101" s="14"/>
      <c r="K101" s="14"/>
      <c r="L101" s="14"/>
      <c r="M101" s="14"/>
      <c r="N101" s="14"/>
      <c r="O101" s="14"/>
      <c r="P101" s="14"/>
      <c r="Q101" s="14"/>
      <c r="R101" s="15">
        <f t="shared" si="8"/>
        <v>0</v>
      </c>
      <c r="S101" s="16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ht="22.5" customHeight="1">
      <c r="A102" s="39"/>
      <c r="B102" s="40"/>
      <c r="C102" s="39"/>
      <c r="D102" s="39"/>
      <c r="E102" s="8">
        <f t="shared" si="3"/>
        <v>0</v>
      </c>
      <c r="F102" s="8"/>
      <c r="G102" s="8"/>
      <c r="H102" s="8"/>
      <c r="I102" s="14"/>
      <c r="J102" s="14"/>
      <c r="K102" s="14"/>
      <c r="L102" s="14"/>
      <c r="M102" s="14"/>
      <c r="N102" s="14"/>
      <c r="O102" s="14"/>
      <c r="P102" s="14"/>
      <c r="Q102" s="14"/>
      <c r="R102" s="15">
        <f t="shared" si="8"/>
        <v>0</v>
      </c>
      <c r="S102" s="16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ht="22.5" customHeight="1">
      <c r="A103" s="39"/>
      <c r="B103" s="40"/>
      <c r="C103" s="39"/>
      <c r="D103" s="39"/>
      <c r="E103" s="8">
        <f t="shared" si="3"/>
        <v>0</v>
      </c>
      <c r="F103" s="8"/>
      <c r="G103" s="8"/>
      <c r="H103" s="8"/>
      <c r="I103" s="14"/>
      <c r="J103" s="14"/>
      <c r="K103" s="14"/>
      <c r="L103" s="14"/>
      <c r="M103" s="14"/>
      <c r="N103" s="14"/>
      <c r="O103" s="14"/>
      <c r="P103" s="14"/>
      <c r="Q103" s="14"/>
      <c r="R103" s="15">
        <f t="shared" si="8"/>
        <v>0</v>
      </c>
      <c r="S103" s="16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ht="22.5" customHeight="1">
      <c r="A104" s="39"/>
      <c r="B104" s="40"/>
      <c r="C104" s="39"/>
      <c r="D104" s="39"/>
      <c r="E104" s="8">
        <f t="shared" si="3"/>
        <v>0</v>
      </c>
      <c r="F104" s="8"/>
      <c r="G104" s="8"/>
      <c r="H104" s="8"/>
      <c r="I104" s="14"/>
      <c r="J104" s="14"/>
      <c r="K104" s="14"/>
      <c r="L104" s="14"/>
      <c r="M104" s="14"/>
      <c r="N104" s="14"/>
      <c r="O104" s="14"/>
      <c r="P104" s="14"/>
      <c r="Q104" s="14"/>
      <c r="R104" s="15">
        <f t="shared" si="8"/>
        <v>0</v>
      </c>
      <c r="S104" s="16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ht="22.5" customHeight="1">
      <c r="A105" s="39"/>
      <c r="B105" s="40"/>
      <c r="C105" s="39"/>
      <c r="D105" s="39"/>
      <c r="E105" s="8">
        <f t="shared" si="3"/>
        <v>0</v>
      </c>
      <c r="F105" s="8"/>
      <c r="G105" s="8"/>
      <c r="H105" s="8"/>
      <c r="I105" s="14"/>
      <c r="J105" s="14"/>
      <c r="K105" s="14"/>
      <c r="L105" s="14"/>
      <c r="M105" s="14"/>
      <c r="N105" s="14"/>
      <c r="O105" s="14"/>
      <c r="P105" s="14"/>
      <c r="Q105" s="14"/>
      <c r="R105" s="15">
        <f t="shared" si="8"/>
        <v>0</v>
      </c>
      <c r="S105" s="16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ht="22.5" customHeight="1">
      <c r="A106" s="39"/>
      <c r="B106" s="40"/>
      <c r="C106" s="39"/>
      <c r="D106" s="39"/>
      <c r="E106" s="8">
        <f t="shared" si="3"/>
        <v>0</v>
      </c>
      <c r="F106" s="8"/>
      <c r="G106" s="8"/>
      <c r="H106" s="8"/>
      <c r="I106" s="14"/>
      <c r="J106" s="14"/>
      <c r="K106" s="14"/>
      <c r="L106" s="14"/>
      <c r="M106" s="14"/>
      <c r="N106" s="14"/>
      <c r="O106" s="14"/>
      <c r="P106" s="14"/>
      <c r="Q106" s="14"/>
      <c r="R106" s="15">
        <f t="shared" si="8"/>
        <v>0</v>
      </c>
      <c r="S106" s="16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ht="22.5" customHeight="1">
      <c r="A107" s="39"/>
      <c r="B107" s="40"/>
      <c r="C107" s="39"/>
      <c r="D107" s="39"/>
      <c r="E107" s="8">
        <f t="shared" si="3"/>
        <v>0</v>
      </c>
      <c r="F107" s="8"/>
      <c r="G107" s="8"/>
      <c r="H107" s="8"/>
      <c r="I107" s="14"/>
      <c r="J107" s="14"/>
      <c r="K107" s="14"/>
      <c r="L107" s="14"/>
      <c r="M107" s="14"/>
      <c r="N107" s="14"/>
      <c r="O107" s="14"/>
      <c r="P107" s="14"/>
      <c r="Q107" s="14"/>
      <c r="R107" s="15">
        <f t="shared" si="8"/>
        <v>0</v>
      </c>
      <c r="S107" s="16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ht="22.5" customHeight="1">
      <c r="A108" s="39"/>
      <c r="B108" s="40"/>
      <c r="C108" s="39"/>
      <c r="D108" s="39"/>
      <c r="E108" s="8">
        <f t="shared" si="3"/>
        <v>0</v>
      </c>
      <c r="F108" s="8"/>
      <c r="G108" s="8"/>
      <c r="H108" s="8"/>
      <c r="I108" s="14"/>
      <c r="J108" s="14"/>
      <c r="K108" s="14"/>
      <c r="L108" s="14"/>
      <c r="M108" s="14"/>
      <c r="N108" s="14"/>
      <c r="O108" s="14"/>
      <c r="P108" s="14"/>
      <c r="Q108" s="14"/>
      <c r="R108" s="15">
        <f t="shared" si="8"/>
        <v>0</v>
      </c>
      <c r="S108" s="16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ht="22.5" customHeight="1">
      <c r="A109" s="39"/>
      <c r="B109" s="40"/>
      <c r="C109" s="39"/>
      <c r="D109" s="39"/>
      <c r="E109" s="8">
        <f t="shared" si="3"/>
        <v>0</v>
      </c>
      <c r="F109" s="8"/>
      <c r="G109" s="8"/>
      <c r="H109" s="8"/>
      <c r="I109" s="14"/>
      <c r="J109" s="14"/>
      <c r="K109" s="14"/>
      <c r="L109" s="14"/>
      <c r="M109" s="14"/>
      <c r="N109" s="14"/>
      <c r="O109" s="14"/>
      <c r="P109" s="14"/>
      <c r="Q109" s="14"/>
      <c r="R109" s="15">
        <f t="shared" si="8"/>
        <v>0</v>
      </c>
      <c r="S109" s="16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ht="22.5" customHeight="1">
      <c r="A110" s="39"/>
      <c r="B110" s="40"/>
      <c r="C110" s="39"/>
      <c r="D110" s="39"/>
      <c r="E110" s="8">
        <f t="shared" si="3"/>
        <v>0</v>
      </c>
      <c r="F110" s="8"/>
      <c r="G110" s="8"/>
      <c r="H110" s="8"/>
      <c r="I110" s="14"/>
      <c r="J110" s="14"/>
      <c r="K110" s="14"/>
      <c r="L110" s="14"/>
      <c r="M110" s="14"/>
      <c r="N110" s="14"/>
      <c r="O110" s="14"/>
      <c r="P110" s="14"/>
      <c r="Q110" s="14"/>
      <c r="R110" s="15">
        <f t="shared" si="8"/>
        <v>0</v>
      </c>
      <c r="S110" s="16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ht="22.5" customHeight="1">
      <c r="A111" s="39"/>
      <c r="B111" s="40"/>
      <c r="C111" s="39"/>
      <c r="D111" s="39"/>
      <c r="E111" s="8">
        <f t="shared" si="3"/>
        <v>0</v>
      </c>
      <c r="F111" s="8"/>
      <c r="G111" s="8"/>
      <c r="H111" s="8"/>
      <c r="I111" s="14"/>
      <c r="J111" s="14"/>
      <c r="K111" s="14"/>
      <c r="L111" s="14"/>
      <c r="M111" s="14"/>
      <c r="N111" s="14"/>
      <c r="O111" s="14"/>
      <c r="P111" s="14"/>
      <c r="Q111" s="14"/>
      <c r="R111" s="15">
        <f t="shared" si="8"/>
        <v>0</v>
      </c>
      <c r="S111" s="16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ht="22.5" customHeight="1">
      <c r="A112" s="39"/>
      <c r="B112" s="40"/>
      <c r="C112" s="39"/>
      <c r="D112" s="39"/>
      <c r="E112" s="8">
        <f t="shared" si="3"/>
        <v>0</v>
      </c>
      <c r="F112" s="8"/>
      <c r="G112" s="8"/>
      <c r="H112" s="8"/>
      <c r="I112" s="14"/>
      <c r="J112" s="14"/>
      <c r="K112" s="14"/>
      <c r="L112" s="14"/>
      <c r="M112" s="14"/>
      <c r="N112" s="14"/>
      <c r="O112" s="14"/>
      <c r="P112" s="14"/>
      <c r="Q112" s="14"/>
      <c r="R112" s="15">
        <f t="shared" si="8"/>
        <v>0</v>
      </c>
      <c r="S112" s="16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ht="22.5" customHeight="1">
      <c r="A113" s="39"/>
      <c r="B113" s="40"/>
      <c r="C113" s="39"/>
      <c r="D113" s="39"/>
      <c r="E113" s="8">
        <f t="shared" si="3"/>
        <v>0</v>
      </c>
      <c r="F113" s="8"/>
      <c r="G113" s="8"/>
      <c r="H113" s="8"/>
      <c r="I113" s="14"/>
      <c r="J113" s="14"/>
      <c r="K113" s="14"/>
      <c r="L113" s="14"/>
      <c r="M113" s="14"/>
      <c r="N113" s="14"/>
      <c r="O113" s="14"/>
      <c r="P113" s="14"/>
      <c r="Q113" s="14"/>
      <c r="R113" s="15">
        <f t="shared" si="8"/>
        <v>0</v>
      </c>
      <c r="S113" s="16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ht="22.5" customHeight="1">
      <c r="A114" s="39"/>
      <c r="B114" s="40"/>
      <c r="C114" s="39"/>
      <c r="D114" s="39"/>
      <c r="E114" s="8">
        <f t="shared" si="3"/>
        <v>0</v>
      </c>
      <c r="F114" s="8"/>
      <c r="G114" s="8"/>
      <c r="H114" s="8"/>
      <c r="I114" s="14"/>
      <c r="J114" s="14"/>
      <c r="K114" s="14"/>
      <c r="L114" s="14"/>
      <c r="M114" s="14"/>
      <c r="N114" s="14"/>
      <c r="O114" s="14"/>
      <c r="P114" s="14"/>
      <c r="Q114" s="14"/>
      <c r="R114" s="15">
        <f t="shared" si="8"/>
        <v>0</v>
      </c>
      <c r="S114" s="16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ht="22.5" customHeight="1">
      <c r="A115" s="39"/>
      <c r="B115" s="40"/>
      <c r="C115" s="39"/>
      <c r="D115" s="39"/>
      <c r="E115" s="8">
        <f t="shared" si="3"/>
        <v>0</v>
      </c>
      <c r="F115" s="8"/>
      <c r="G115" s="8"/>
      <c r="H115" s="8"/>
      <c r="I115" s="14"/>
      <c r="J115" s="14"/>
      <c r="K115" s="14"/>
      <c r="L115" s="14"/>
      <c r="M115" s="14"/>
      <c r="N115" s="14"/>
      <c r="O115" s="14"/>
      <c r="P115" s="14"/>
      <c r="Q115" s="14"/>
      <c r="R115" s="15">
        <f t="shared" si="8"/>
        <v>0</v>
      </c>
      <c r="S115" s="16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ht="22.5" customHeight="1">
      <c r="A116" s="39"/>
      <c r="B116" s="40"/>
      <c r="C116" s="39"/>
      <c r="D116" s="39"/>
      <c r="E116" s="8">
        <f t="shared" si="3"/>
        <v>0</v>
      </c>
      <c r="F116" s="8"/>
      <c r="G116" s="8"/>
      <c r="H116" s="8"/>
      <c r="I116" s="14"/>
      <c r="J116" s="14"/>
      <c r="K116" s="14"/>
      <c r="L116" s="14"/>
      <c r="M116" s="14"/>
      <c r="N116" s="14"/>
      <c r="O116" s="14"/>
      <c r="P116" s="14"/>
      <c r="Q116" s="14"/>
      <c r="R116" s="15">
        <f t="shared" si="8"/>
        <v>0</v>
      </c>
      <c r="S116" s="16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ht="22.5" customHeight="1">
      <c r="A117" s="39"/>
      <c r="B117" s="40"/>
      <c r="C117" s="39"/>
      <c r="D117" s="39"/>
      <c r="E117" s="8">
        <f t="shared" si="3"/>
        <v>0</v>
      </c>
      <c r="F117" s="8"/>
      <c r="G117" s="8"/>
      <c r="H117" s="8"/>
      <c r="I117" s="14"/>
      <c r="J117" s="14"/>
      <c r="K117" s="14"/>
      <c r="L117" s="14"/>
      <c r="M117" s="14"/>
      <c r="N117" s="14"/>
      <c r="O117" s="14"/>
      <c r="P117" s="14"/>
      <c r="Q117" s="14"/>
      <c r="R117" s="15">
        <f t="shared" si="8"/>
        <v>0</v>
      </c>
      <c r="S117" s="16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ht="22.5" customHeight="1">
      <c r="A118" s="39"/>
      <c r="B118" s="40"/>
      <c r="C118" s="39"/>
      <c r="D118" s="39"/>
      <c r="E118" s="8">
        <f t="shared" si="3"/>
        <v>0</v>
      </c>
      <c r="F118" s="8"/>
      <c r="G118" s="8"/>
      <c r="H118" s="8"/>
      <c r="I118" s="14"/>
      <c r="J118" s="14"/>
      <c r="K118" s="14"/>
      <c r="L118" s="14"/>
      <c r="M118" s="14"/>
      <c r="N118" s="14"/>
      <c r="O118" s="14"/>
      <c r="P118" s="14"/>
      <c r="Q118" s="14"/>
      <c r="R118" s="15">
        <f t="shared" si="8"/>
        <v>0</v>
      </c>
      <c r="S118" s="16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ht="22.5" customHeight="1">
      <c r="A119" s="39"/>
      <c r="B119" s="40"/>
      <c r="C119" s="39"/>
      <c r="D119" s="39"/>
      <c r="E119" s="8">
        <f t="shared" si="3"/>
        <v>0</v>
      </c>
      <c r="F119" s="8"/>
      <c r="G119" s="8"/>
      <c r="H119" s="8"/>
      <c r="I119" s="14"/>
      <c r="J119" s="14"/>
      <c r="K119" s="14"/>
      <c r="L119" s="14"/>
      <c r="M119" s="14"/>
      <c r="N119" s="14"/>
      <c r="O119" s="14"/>
      <c r="P119" s="14"/>
      <c r="Q119" s="14"/>
      <c r="R119" s="15">
        <f t="shared" si="8"/>
        <v>0</v>
      </c>
      <c r="S119" s="16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ht="22.5" customHeight="1">
      <c r="A120" s="39"/>
      <c r="B120" s="40"/>
      <c r="C120" s="39"/>
      <c r="D120" s="39"/>
      <c r="E120" s="8">
        <f t="shared" si="3"/>
        <v>0</v>
      </c>
      <c r="F120" s="8"/>
      <c r="G120" s="8"/>
      <c r="H120" s="8"/>
      <c r="I120" s="14"/>
      <c r="J120" s="14"/>
      <c r="K120" s="14"/>
      <c r="L120" s="14"/>
      <c r="M120" s="14"/>
      <c r="N120" s="14"/>
      <c r="O120" s="14"/>
      <c r="P120" s="14"/>
      <c r="Q120" s="14"/>
      <c r="R120" s="15">
        <f t="shared" si="8"/>
        <v>0</v>
      </c>
      <c r="S120" s="16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ht="22.5" customHeight="1">
      <c r="A121" s="39"/>
      <c r="B121" s="40"/>
      <c r="C121" s="39"/>
      <c r="D121" s="39"/>
      <c r="E121" s="8">
        <f t="shared" si="3"/>
        <v>0</v>
      </c>
      <c r="F121" s="8"/>
      <c r="G121" s="8"/>
      <c r="H121" s="8"/>
      <c r="I121" s="14"/>
      <c r="J121" s="14"/>
      <c r="K121" s="14"/>
      <c r="L121" s="14"/>
      <c r="M121" s="14"/>
      <c r="N121" s="14"/>
      <c r="O121" s="14"/>
      <c r="P121" s="14"/>
      <c r="Q121" s="14"/>
      <c r="R121" s="15">
        <f t="shared" si="8"/>
        <v>0</v>
      </c>
      <c r="S121" s="16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</sheetData>
  <customSheetViews>
    <customSheetView guid="{2E1EAC01-8BBB-46DA-8D70-17BBE008A636}" filter="1" showAutoFilter="1">
      <autoFilter ref="$A$1:$S$121">
        <sortState ref="A1:S121">
          <sortCondition ref="C1:C121"/>
        </sortState>
      </autoFilter>
    </customSheetView>
  </customSheetViews>
  <dataValidations>
    <dataValidation type="custom" allowBlank="1" showDropDown="1" sqref="C2:D121">
      <formula1>OR(NOT(ISERROR(DATEVALUE(C2))), AND(ISNUMBER(C2), LEFT(CELL("format", C2))="D"))</formula1>
    </dataValidation>
    <dataValidation type="custom" allowBlank="1" showDropDown="1" sqref="E2:I121 K2:N121 P2:R121">
      <formula1>AND(ISNUMBER(E2),(NOT(OR(NOT(ISERROR(DATEVALUE(E2))), AND(ISNUMBER(E2), LEFT(CELL("format", E2))="D")))))</formula1>
    </dataValidation>
    <dataValidation allowBlank="1" showDropDown="1" sqref="A2:A121 S2:S121"/>
    <dataValidation type="list" allowBlank="1" sqref="B2:B121">
      <formula1>"Airbnb,Booking,Extra,Agenzia"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3.38"/>
    <col customWidth="1" min="3" max="3" width="12.63"/>
    <col customWidth="1" min="4" max="4" width="13.13"/>
    <col customWidth="1" min="5" max="5" width="9.5"/>
    <col customWidth="1" min="6" max="6" width="9.38"/>
    <col customWidth="1" min="7" max="7" width="9.25"/>
    <col customWidth="1" min="8" max="8" width="12.13"/>
    <col customWidth="1" min="9" max="9" width="10.0"/>
    <col customWidth="1" min="10" max="10" width="10.75"/>
    <col customWidth="1" min="11" max="11" width="9.75"/>
    <col customWidth="1" min="12" max="12" width="10.63"/>
    <col customWidth="1" min="13" max="13" width="9.25"/>
    <col customWidth="1" min="14" max="15" width="12.63"/>
    <col customWidth="1" min="16" max="16" width="14.25"/>
    <col customWidth="1" min="17" max="17" width="11.0"/>
    <col customWidth="1" min="18" max="18" width="3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 t="s">
        <v>8</v>
      </c>
      <c r="I1" s="2" t="s">
        <v>9</v>
      </c>
      <c r="J1" s="2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1" t="s">
        <v>18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2.5" customHeight="1">
      <c r="A2" s="7" t="s">
        <v>56</v>
      </c>
      <c r="B2" s="13" t="s">
        <v>20</v>
      </c>
      <c r="C2" s="7">
        <v>45444.0</v>
      </c>
      <c r="D2" s="7">
        <v>45473.0</v>
      </c>
      <c r="E2" s="8">
        <f t="shared" ref="E2:E11" si="1">D2-C2</f>
        <v>29</v>
      </c>
      <c r="F2" s="25"/>
      <c r="G2" s="25"/>
      <c r="H2" s="9">
        <v>1200.0</v>
      </c>
      <c r="I2" s="9"/>
      <c r="J2" s="9">
        <v>1200.0</v>
      </c>
      <c r="K2" s="9">
        <f t="shared" ref="K2:K9" si="2">J2/E2</f>
        <v>41.37931034</v>
      </c>
      <c r="L2" s="9"/>
      <c r="M2" s="14"/>
      <c r="N2" s="9"/>
      <c r="O2" s="9">
        <f t="shared" ref="O2:O9" si="3">J2*15%*(1+22%)</f>
        <v>219.6</v>
      </c>
      <c r="P2" s="9">
        <v>252.0</v>
      </c>
      <c r="Q2" s="15">
        <f t="shared" ref="Q2:Q9" si="4">J2-O2-P2</f>
        <v>728.4</v>
      </c>
      <c r="R2" s="16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ht="22.5" customHeight="1">
      <c r="A3" s="7" t="s">
        <v>57</v>
      </c>
      <c r="B3" s="13" t="s">
        <v>20</v>
      </c>
      <c r="C3" s="7">
        <v>45473.0</v>
      </c>
      <c r="D3" s="7">
        <v>45501.0</v>
      </c>
      <c r="E3" s="8">
        <f t="shared" si="1"/>
        <v>28</v>
      </c>
      <c r="F3" s="25"/>
      <c r="G3" s="25"/>
      <c r="H3" s="9">
        <v>3100.0</v>
      </c>
      <c r="I3" s="14"/>
      <c r="J3" s="9">
        <v>3100.0</v>
      </c>
      <c r="K3" s="9">
        <f t="shared" si="2"/>
        <v>110.7142857</v>
      </c>
      <c r="L3" s="9"/>
      <c r="M3" s="14"/>
      <c r="N3" s="9"/>
      <c r="O3" s="9">
        <f t="shared" si="3"/>
        <v>567.3</v>
      </c>
      <c r="P3" s="9">
        <v>651.0</v>
      </c>
      <c r="Q3" s="15">
        <f t="shared" si="4"/>
        <v>1881.7</v>
      </c>
      <c r="R3" s="5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ht="22.5" customHeight="1">
      <c r="A4" s="7" t="s">
        <v>58</v>
      </c>
      <c r="B4" s="13" t="s">
        <v>20</v>
      </c>
      <c r="C4" s="7">
        <v>45508.0</v>
      </c>
      <c r="D4" s="7">
        <v>45522.0</v>
      </c>
      <c r="E4" s="8">
        <f t="shared" si="1"/>
        <v>14</v>
      </c>
      <c r="F4" s="25"/>
      <c r="G4" s="25"/>
      <c r="H4" s="9">
        <v>1700.0</v>
      </c>
      <c r="I4" s="9"/>
      <c r="J4" s="9">
        <v>1700.0</v>
      </c>
      <c r="K4" s="9">
        <f t="shared" si="2"/>
        <v>121.4285714</v>
      </c>
      <c r="L4" s="9"/>
      <c r="M4" s="14"/>
      <c r="N4" s="9"/>
      <c r="O4" s="9">
        <f t="shared" si="3"/>
        <v>311.1</v>
      </c>
      <c r="P4" s="9">
        <v>357.0</v>
      </c>
      <c r="Q4" s="15">
        <f t="shared" si="4"/>
        <v>1031.9</v>
      </c>
      <c r="R4" s="16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ht="22.5" customHeight="1">
      <c r="A5" s="7" t="s">
        <v>59</v>
      </c>
      <c r="B5" s="13" t="s">
        <v>20</v>
      </c>
      <c r="C5" s="7">
        <v>45522.0</v>
      </c>
      <c r="D5" s="7">
        <v>45537.0</v>
      </c>
      <c r="E5" s="8">
        <f t="shared" si="1"/>
        <v>15</v>
      </c>
      <c r="F5" s="25"/>
      <c r="G5" s="25"/>
      <c r="H5" s="33">
        <v>1600.0</v>
      </c>
      <c r="I5" s="33"/>
      <c r="J5" s="33">
        <v>1600.0</v>
      </c>
      <c r="K5" s="33">
        <f t="shared" si="2"/>
        <v>106.6666667</v>
      </c>
      <c r="L5" s="33"/>
      <c r="M5" s="34"/>
      <c r="N5" s="33"/>
      <c r="O5" s="33">
        <f t="shared" si="3"/>
        <v>292.8</v>
      </c>
      <c r="P5" s="33">
        <v>336.0</v>
      </c>
      <c r="Q5" s="36">
        <f t="shared" si="4"/>
        <v>971.2</v>
      </c>
      <c r="R5" s="5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7" t="s">
        <v>60</v>
      </c>
      <c r="B6" s="18" t="s">
        <v>20</v>
      </c>
      <c r="C6" s="17">
        <v>45829.0</v>
      </c>
      <c r="D6" s="17">
        <v>45836.0</v>
      </c>
      <c r="E6" s="19">
        <f t="shared" si="1"/>
        <v>7</v>
      </c>
      <c r="F6" s="20"/>
      <c r="G6" s="20"/>
      <c r="H6" s="21">
        <v>800.0</v>
      </c>
      <c r="I6" s="21"/>
      <c r="J6" s="21">
        <v>800.0</v>
      </c>
      <c r="K6" s="9">
        <f t="shared" si="2"/>
        <v>114.2857143</v>
      </c>
      <c r="L6" s="21"/>
      <c r="M6" s="22"/>
      <c r="N6" s="21"/>
      <c r="O6" s="9">
        <f t="shared" si="3"/>
        <v>146.4</v>
      </c>
      <c r="P6" s="9">
        <f t="shared" ref="P6:P9" si="5">H6*0.21</f>
        <v>168</v>
      </c>
      <c r="Q6" s="15">
        <f t="shared" si="4"/>
        <v>485.6</v>
      </c>
      <c r="R6" s="24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ht="22.5" customHeight="1">
      <c r="A7" s="7" t="s">
        <v>61</v>
      </c>
      <c r="B7" s="13" t="s">
        <v>20</v>
      </c>
      <c r="C7" s="7">
        <v>45836.0</v>
      </c>
      <c r="D7" s="7">
        <v>45864.0</v>
      </c>
      <c r="E7" s="8">
        <f t="shared" si="1"/>
        <v>28</v>
      </c>
      <c r="F7" s="25"/>
      <c r="G7" s="25"/>
      <c r="H7" s="9">
        <v>3250.0</v>
      </c>
      <c r="I7" s="9"/>
      <c r="J7" s="9">
        <v>3250.0</v>
      </c>
      <c r="K7" s="9">
        <f t="shared" si="2"/>
        <v>116.0714286</v>
      </c>
      <c r="L7" s="9"/>
      <c r="M7" s="14"/>
      <c r="N7" s="9"/>
      <c r="O7" s="9">
        <f t="shared" si="3"/>
        <v>594.75</v>
      </c>
      <c r="P7" s="9">
        <f t="shared" si="5"/>
        <v>682.5</v>
      </c>
      <c r="Q7" s="15">
        <f t="shared" si="4"/>
        <v>1972.75</v>
      </c>
      <c r="R7" s="5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ht="22.5" customHeight="1">
      <c r="A8" s="7" t="s">
        <v>62</v>
      </c>
      <c r="B8" s="13" t="s">
        <v>20</v>
      </c>
      <c r="C8" s="7">
        <v>45864.0</v>
      </c>
      <c r="D8" s="7">
        <v>45878.0</v>
      </c>
      <c r="E8" s="8">
        <f t="shared" si="1"/>
        <v>14</v>
      </c>
      <c r="F8" s="25"/>
      <c r="G8" s="25"/>
      <c r="H8" s="9">
        <v>1600.0</v>
      </c>
      <c r="I8" s="9"/>
      <c r="J8" s="9">
        <v>1600.0</v>
      </c>
      <c r="K8" s="9">
        <f t="shared" si="2"/>
        <v>114.2857143</v>
      </c>
      <c r="L8" s="9"/>
      <c r="M8" s="14"/>
      <c r="N8" s="9"/>
      <c r="O8" s="9">
        <f t="shared" si="3"/>
        <v>292.8</v>
      </c>
      <c r="P8" s="9">
        <f t="shared" si="5"/>
        <v>336</v>
      </c>
      <c r="Q8" s="15">
        <f t="shared" si="4"/>
        <v>971.2</v>
      </c>
      <c r="R8" s="16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22.5" customHeight="1">
      <c r="A9" s="29" t="s">
        <v>63</v>
      </c>
      <c r="B9" s="30" t="s">
        <v>20</v>
      </c>
      <c r="C9" s="29">
        <v>45878.0</v>
      </c>
      <c r="D9" s="29">
        <v>45899.0</v>
      </c>
      <c r="E9" s="31">
        <f t="shared" si="1"/>
        <v>21</v>
      </c>
      <c r="F9" s="32"/>
      <c r="G9" s="32"/>
      <c r="H9" s="33">
        <v>2600.0</v>
      </c>
      <c r="I9" s="34"/>
      <c r="J9" s="33">
        <v>2600.0</v>
      </c>
      <c r="K9" s="33">
        <f t="shared" si="2"/>
        <v>123.8095238</v>
      </c>
      <c r="L9" s="33"/>
      <c r="M9" s="34"/>
      <c r="N9" s="33"/>
      <c r="O9" s="33">
        <f t="shared" si="3"/>
        <v>475.8</v>
      </c>
      <c r="P9" s="33">
        <f t="shared" si="5"/>
        <v>546</v>
      </c>
      <c r="Q9" s="36">
        <f t="shared" si="4"/>
        <v>1578.2</v>
      </c>
      <c r="R9" s="4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ht="22.5" customHeight="1">
      <c r="A10" s="7" t="s">
        <v>64</v>
      </c>
      <c r="B10" s="13" t="s">
        <v>20</v>
      </c>
      <c r="C10" s="7">
        <v>46202.0</v>
      </c>
      <c r="D10" s="7">
        <v>46280.0</v>
      </c>
      <c r="E10" s="8">
        <f t="shared" si="1"/>
        <v>78</v>
      </c>
      <c r="F10" s="25"/>
      <c r="G10" s="25"/>
      <c r="H10" s="9"/>
      <c r="I10" s="9"/>
      <c r="J10" s="9"/>
      <c r="K10" s="14"/>
      <c r="L10" s="9"/>
      <c r="M10" s="9"/>
      <c r="N10" s="9"/>
      <c r="O10" s="9"/>
      <c r="P10" s="9"/>
      <c r="Q10" s="15"/>
      <c r="R10" s="16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ht="22.5" customHeight="1">
      <c r="A11" s="7" t="s">
        <v>65</v>
      </c>
      <c r="B11" s="13" t="s">
        <v>26</v>
      </c>
      <c r="C11" s="7">
        <v>46282.0</v>
      </c>
      <c r="D11" s="7">
        <v>46288.0</v>
      </c>
      <c r="E11" s="8">
        <f t="shared" si="1"/>
        <v>6</v>
      </c>
      <c r="F11" s="25">
        <v>2.0</v>
      </c>
      <c r="G11" s="8"/>
      <c r="H11" s="9">
        <v>987.0</v>
      </c>
      <c r="I11" s="9"/>
      <c r="J11" s="9">
        <v>744.0</v>
      </c>
      <c r="K11" s="14"/>
      <c r="L11" s="9">
        <v>90.0</v>
      </c>
      <c r="M11" s="14"/>
      <c r="N11" s="9">
        <v>12.0</v>
      </c>
      <c r="O11" s="9">
        <v>31.0</v>
      </c>
      <c r="P11" s="9">
        <v>175.0</v>
      </c>
      <c r="Q11" s="15">
        <f>J11-O11-P11+L11</f>
        <v>628</v>
      </c>
      <c r="R11" s="16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ht="22.5" customHeight="1">
      <c r="A12" s="7"/>
      <c r="B12" s="6"/>
      <c r="C12" s="7"/>
      <c r="D12" s="7"/>
      <c r="E12" s="8"/>
      <c r="F12" s="25"/>
      <c r="G12" s="25"/>
      <c r="H12" s="9"/>
      <c r="I12" s="9"/>
      <c r="J12" s="9"/>
      <c r="K12" s="14"/>
      <c r="L12" s="9"/>
      <c r="M12" s="14"/>
      <c r="N12" s="9"/>
      <c r="O12" s="9"/>
      <c r="P12" s="9"/>
      <c r="Q12" s="15"/>
      <c r="R12" s="5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ht="22.5" customHeight="1">
      <c r="A13" s="16"/>
      <c r="B13" s="40"/>
      <c r="C13" s="39"/>
      <c r="D13" s="39"/>
      <c r="E13" s="8"/>
      <c r="F13" s="8"/>
      <c r="G13" s="8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6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ht="22.5" customHeight="1">
      <c r="A14" s="16"/>
      <c r="B14" s="40"/>
      <c r="C14" s="39"/>
      <c r="D14" s="39"/>
      <c r="E14" s="8"/>
      <c r="F14" s="8"/>
      <c r="G14" s="8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6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ht="22.5" customHeight="1">
      <c r="A15" s="16"/>
      <c r="B15" s="40"/>
      <c r="C15" s="39"/>
      <c r="D15" s="39"/>
      <c r="E15" s="8"/>
      <c r="F15" s="8"/>
      <c r="G15" s="8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6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ht="22.5" customHeight="1">
      <c r="A16" s="16"/>
      <c r="B16" s="40"/>
      <c r="C16" s="39"/>
      <c r="D16" s="39"/>
      <c r="E16" s="8"/>
      <c r="F16" s="8"/>
      <c r="G16" s="8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6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ht="22.5" customHeight="1">
      <c r="A17" s="16"/>
      <c r="B17" s="40"/>
      <c r="C17" s="39"/>
      <c r="D17" s="39"/>
      <c r="E17" s="8"/>
      <c r="F17" s="8"/>
      <c r="G17" s="8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6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ht="22.5" customHeight="1">
      <c r="A18" s="16"/>
      <c r="B18" s="40"/>
      <c r="C18" s="39"/>
      <c r="D18" s="39"/>
      <c r="E18" s="8"/>
      <c r="F18" s="8"/>
      <c r="G18" s="8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6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ht="22.5" customHeight="1">
      <c r="A19" s="16"/>
      <c r="B19" s="40"/>
      <c r="C19" s="39"/>
      <c r="D19" s="39"/>
      <c r="E19" s="8"/>
      <c r="F19" s="8"/>
      <c r="G19" s="8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16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ht="22.5" customHeight="1">
      <c r="A20" s="16"/>
      <c r="B20" s="40"/>
      <c r="C20" s="39"/>
      <c r="D20" s="39"/>
      <c r="E20" s="8"/>
      <c r="F20" s="8"/>
      <c r="G20" s="8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6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ht="22.5" customHeight="1">
      <c r="A21" s="16"/>
      <c r="B21" s="40"/>
      <c r="C21" s="39"/>
      <c r="D21" s="39"/>
      <c r="E21" s="8"/>
      <c r="F21" s="8"/>
      <c r="G21" s="8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6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ht="22.5" customHeight="1">
      <c r="A22" s="16"/>
      <c r="B22" s="40"/>
      <c r="C22" s="39"/>
      <c r="D22" s="39"/>
      <c r="E22" s="8"/>
      <c r="F22" s="8"/>
      <c r="G22" s="8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6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ht="22.5" customHeight="1">
      <c r="A23" s="16"/>
      <c r="B23" s="40"/>
      <c r="C23" s="39"/>
      <c r="D23" s="39"/>
      <c r="E23" s="8"/>
      <c r="F23" s="8"/>
      <c r="G23" s="8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6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</sheetData>
  <customSheetViews>
    <customSheetView guid="{2E1EAC01-8BBB-46DA-8D70-17BBE008A636}" filter="1" showAutoFilter="1">
      <autoFilter ref="$A$1:$R$23">
        <sortState ref="A1:R23">
          <sortCondition ref="C1:C23"/>
        </sortState>
      </autoFilter>
    </customSheetView>
  </customSheetViews>
  <dataValidations>
    <dataValidation type="custom" allowBlank="1" showDropDown="1" sqref="C2:D23">
      <formula1>OR(NOT(ISERROR(DATEVALUE(C2))), AND(ISNUMBER(C2), LEFT(CELL("format", C2))="D"))</formula1>
    </dataValidation>
    <dataValidation type="custom" allowBlank="1" showDropDown="1" sqref="E2:H23 J2:M23 O2:Q23">
      <formula1>AND(ISNUMBER(E2),(NOT(OR(NOT(ISERROR(DATEVALUE(E2))), AND(ISNUMBER(E2), LEFT(CELL("format", E2))="D")))))</formula1>
    </dataValidation>
    <dataValidation allowBlank="1" showDropDown="1" sqref="A2:A23 R2:R23"/>
    <dataValidation type="list" allowBlank="1" sqref="B2:B23">
      <formula1>"Airbnb,Booking,Extra,Agenzia"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3.38"/>
    <col customWidth="1" min="3" max="3" width="12.63"/>
    <col customWidth="1" min="4" max="4" width="13.13"/>
    <col customWidth="1" min="5" max="5" width="9.5"/>
    <col customWidth="1" min="6" max="6" width="9.38"/>
    <col customWidth="1" min="7" max="7" width="9.25"/>
    <col customWidth="1" min="8" max="8" width="12.13"/>
    <col customWidth="1" min="9" max="9" width="10.0"/>
    <col customWidth="1" min="10" max="10" width="10.75"/>
    <col customWidth="1" min="11" max="11" width="9.75"/>
    <col customWidth="1" min="12" max="12" width="10.63"/>
    <col customWidth="1" min="13" max="13" width="9.25"/>
    <col customWidth="1" min="14" max="15" width="12.63"/>
    <col customWidth="1" min="16" max="16" width="14.25"/>
    <col customWidth="1" min="17" max="17" width="11.0"/>
    <col customWidth="1" min="18" max="18" width="3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55</v>
      </c>
      <c r="H1" s="2" t="s">
        <v>8</v>
      </c>
      <c r="I1" s="2" t="s">
        <v>9</v>
      </c>
      <c r="J1" s="2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1" t="s">
        <v>18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2.5" customHeight="1">
      <c r="A2" s="7" t="s">
        <v>56</v>
      </c>
      <c r="B2" s="13" t="s">
        <v>20</v>
      </c>
      <c r="C2" s="7">
        <v>45465.0</v>
      </c>
      <c r="D2" s="7">
        <v>45472.0</v>
      </c>
      <c r="E2" s="8">
        <f t="shared" ref="E2:E9" si="1">D2-C2</f>
        <v>7</v>
      </c>
      <c r="F2" s="42"/>
      <c r="G2" s="42"/>
      <c r="H2" s="43">
        <v>500.0</v>
      </c>
      <c r="I2" s="44"/>
      <c r="J2" s="43"/>
      <c r="K2" s="45">
        <f t="shared" ref="K2:K9" si="2">H2/E2</f>
        <v>71.42857143</v>
      </c>
      <c r="L2" s="45"/>
      <c r="M2" s="45"/>
      <c r="N2" s="44"/>
      <c r="O2" s="45">
        <f t="shared" ref="O2:O6" si="3">H2*15%*(1+22%)</f>
        <v>91.5</v>
      </c>
      <c r="P2" s="43">
        <v>105.0</v>
      </c>
      <c r="Q2" s="15">
        <f t="shared" ref="Q2:Q9" si="4">H2-O2-P2</f>
        <v>303.5</v>
      </c>
      <c r="R2" s="16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ht="22.5" customHeight="1">
      <c r="A3" s="7" t="s">
        <v>58</v>
      </c>
      <c r="B3" s="13" t="s">
        <v>20</v>
      </c>
      <c r="C3" s="7">
        <v>45472.0</v>
      </c>
      <c r="D3" s="7">
        <v>45479.0</v>
      </c>
      <c r="E3" s="8">
        <f t="shared" si="1"/>
        <v>7</v>
      </c>
      <c r="F3" s="42"/>
      <c r="G3" s="42"/>
      <c r="H3" s="43">
        <v>800.0</v>
      </c>
      <c r="I3" s="44"/>
      <c r="J3" s="43"/>
      <c r="K3" s="45">
        <f t="shared" si="2"/>
        <v>114.2857143</v>
      </c>
      <c r="L3" s="45"/>
      <c r="M3" s="45"/>
      <c r="N3" s="44"/>
      <c r="O3" s="45">
        <f t="shared" si="3"/>
        <v>146.4</v>
      </c>
      <c r="P3" s="43">
        <v>168.0</v>
      </c>
      <c r="Q3" s="15">
        <f t="shared" si="4"/>
        <v>485.6</v>
      </c>
      <c r="R3" s="16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ht="22.5" customHeight="1">
      <c r="A4" s="7" t="s">
        <v>57</v>
      </c>
      <c r="B4" s="13" t="s">
        <v>20</v>
      </c>
      <c r="C4" s="7">
        <v>45479.0</v>
      </c>
      <c r="D4" s="7">
        <v>45507.0</v>
      </c>
      <c r="E4" s="8">
        <f t="shared" si="1"/>
        <v>28</v>
      </c>
      <c r="F4" s="42"/>
      <c r="G4" s="42"/>
      <c r="H4" s="43">
        <v>2700.0</v>
      </c>
      <c r="I4" s="44"/>
      <c r="J4" s="43"/>
      <c r="K4" s="45">
        <f t="shared" si="2"/>
        <v>96.42857143</v>
      </c>
      <c r="L4" s="45"/>
      <c r="M4" s="45"/>
      <c r="N4" s="44"/>
      <c r="O4" s="45">
        <f t="shared" si="3"/>
        <v>494.1</v>
      </c>
      <c r="P4" s="43">
        <v>567.0</v>
      </c>
      <c r="Q4" s="15">
        <f t="shared" si="4"/>
        <v>1638.9</v>
      </c>
      <c r="R4" s="5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ht="22.5" customHeight="1">
      <c r="A5" s="7" t="s">
        <v>59</v>
      </c>
      <c r="B5" s="13" t="s">
        <v>20</v>
      </c>
      <c r="C5" s="7">
        <v>45507.0</v>
      </c>
      <c r="D5" s="7">
        <v>45535.0</v>
      </c>
      <c r="E5" s="31">
        <f t="shared" si="1"/>
        <v>28</v>
      </c>
      <c r="F5" s="46"/>
      <c r="G5" s="46"/>
      <c r="H5" s="47">
        <v>2800.0</v>
      </c>
      <c r="I5" s="48"/>
      <c r="J5" s="47"/>
      <c r="K5" s="49">
        <f t="shared" si="2"/>
        <v>100</v>
      </c>
      <c r="L5" s="49"/>
      <c r="M5" s="49"/>
      <c r="N5" s="48"/>
      <c r="O5" s="49">
        <f t="shared" si="3"/>
        <v>512.4</v>
      </c>
      <c r="P5" s="47">
        <v>588.0</v>
      </c>
      <c r="Q5" s="36">
        <f t="shared" si="4"/>
        <v>1699.6</v>
      </c>
      <c r="R5" s="5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7" t="s">
        <v>66</v>
      </c>
      <c r="B6" s="18" t="s">
        <v>20</v>
      </c>
      <c r="C6" s="17">
        <v>45822.0</v>
      </c>
      <c r="D6" s="17">
        <v>45836.0</v>
      </c>
      <c r="E6" s="19">
        <f t="shared" si="1"/>
        <v>14</v>
      </c>
      <c r="F6" s="20"/>
      <c r="G6" s="20"/>
      <c r="H6" s="21">
        <v>1000.0</v>
      </c>
      <c r="I6" s="22"/>
      <c r="J6" s="21">
        <v>1000.0</v>
      </c>
      <c r="K6" s="45">
        <f t="shared" si="2"/>
        <v>71.42857143</v>
      </c>
      <c r="L6" s="21"/>
      <c r="M6" s="22"/>
      <c r="N6" s="21"/>
      <c r="O6" s="45">
        <f t="shared" si="3"/>
        <v>183</v>
      </c>
      <c r="P6" s="9">
        <f>H6*0.21</f>
        <v>210</v>
      </c>
      <c r="Q6" s="15">
        <f t="shared" si="4"/>
        <v>607</v>
      </c>
      <c r="R6" s="50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ht="22.5" customHeight="1">
      <c r="A7" s="7" t="s">
        <v>67</v>
      </c>
      <c r="B7" s="13" t="s">
        <v>22</v>
      </c>
      <c r="C7" s="7">
        <v>45840.0</v>
      </c>
      <c r="D7" s="7">
        <v>45868.0</v>
      </c>
      <c r="E7" s="8">
        <f t="shared" si="1"/>
        <v>28</v>
      </c>
      <c r="F7" s="25"/>
      <c r="G7" s="25"/>
      <c r="H7" s="9">
        <v>3200.0</v>
      </c>
      <c r="I7" s="9"/>
      <c r="J7" s="9">
        <v>3200.0</v>
      </c>
      <c r="K7" s="45">
        <f t="shared" si="2"/>
        <v>114.2857143</v>
      </c>
      <c r="L7" s="9"/>
      <c r="M7" s="14"/>
      <c r="N7" s="9"/>
      <c r="O7" s="45"/>
      <c r="P7" s="9"/>
      <c r="Q7" s="15">
        <f t="shared" si="4"/>
        <v>3200</v>
      </c>
      <c r="R7" s="16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ht="22.5" customHeight="1">
      <c r="A8" s="7" t="s">
        <v>60</v>
      </c>
      <c r="B8" s="13" t="s">
        <v>20</v>
      </c>
      <c r="C8" s="7">
        <v>45871.0</v>
      </c>
      <c r="D8" s="7">
        <v>45885.0</v>
      </c>
      <c r="E8" s="8">
        <f t="shared" si="1"/>
        <v>14</v>
      </c>
      <c r="F8" s="25"/>
      <c r="G8" s="25"/>
      <c r="H8" s="9">
        <v>1900.0</v>
      </c>
      <c r="I8" s="9"/>
      <c r="J8" s="9">
        <v>1900.0</v>
      </c>
      <c r="K8" s="45">
        <f t="shared" si="2"/>
        <v>135.7142857</v>
      </c>
      <c r="L8" s="9"/>
      <c r="M8" s="14"/>
      <c r="N8" s="9"/>
      <c r="O8" s="45">
        <f t="shared" ref="O8:O9" si="5">H8*15%*(1+22%)</f>
        <v>347.7</v>
      </c>
      <c r="P8" s="9">
        <f t="shared" ref="P8:P9" si="6">H8*0.21</f>
        <v>399</v>
      </c>
      <c r="Q8" s="15">
        <f t="shared" si="4"/>
        <v>1153.3</v>
      </c>
      <c r="R8" s="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ht="22.5" customHeight="1">
      <c r="A9" s="7" t="s">
        <v>61</v>
      </c>
      <c r="B9" s="13" t="s">
        <v>20</v>
      </c>
      <c r="C9" s="7">
        <v>45886.0</v>
      </c>
      <c r="D9" s="7">
        <v>45900.0</v>
      </c>
      <c r="E9" s="8">
        <f t="shared" si="1"/>
        <v>14</v>
      </c>
      <c r="F9" s="25"/>
      <c r="G9" s="25"/>
      <c r="H9" s="9">
        <v>1650.0</v>
      </c>
      <c r="I9" s="9"/>
      <c r="J9" s="9">
        <v>1650.0</v>
      </c>
      <c r="K9" s="45">
        <f t="shared" si="2"/>
        <v>117.8571429</v>
      </c>
      <c r="L9" s="9"/>
      <c r="M9" s="14"/>
      <c r="N9" s="9"/>
      <c r="O9" s="45">
        <f t="shared" si="5"/>
        <v>301.95</v>
      </c>
      <c r="P9" s="9">
        <f t="shared" si="6"/>
        <v>346.5</v>
      </c>
      <c r="Q9" s="15">
        <f t="shared" si="4"/>
        <v>1001.55</v>
      </c>
      <c r="R9" s="5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ht="22.5" customHeight="1">
      <c r="A10" s="7"/>
      <c r="B10" s="6"/>
      <c r="C10" s="7"/>
      <c r="D10" s="7"/>
      <c r="E10" s="8"/>
      <c r="F10" s="25"/>
      <c r="G10" s="25"/>
      <c r="H10" s="9"/>
      <c r="I10" s="9"/>
      <c r="J10" s="9"/>
      <c r="K10" s="14"/>
      <c r="L10" s="9"/>
      <c r="M10" s="9"/>
      <c r="N10" s="9"/>
      <c r="O10" s="9"/>
      <c r="P10" s="9"/>
      <c r="Q10" s="15"/>
      <c r="R10" s="16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ht="22.5" customHeight="1">
      <c r="A11" s="7"/>
      <c r="B11" s="6"/>
      <c r="C11" s="7"/>
      <c r="D11" s="7"/>
      <c r="E11" s="8"/>
      <c r="F11" s="8"/>
      <c r="G11" s="8"/>
      <c r="H11" s="14"/>
      <c r="I11" s="9"/>
      <c r="J11" s="9"/>
      <c r="K11" s="14"/>
      <c r="L11" s="14"/>
      <c r="M11" s="14"/>
      <c r="N11" s="14"/>
      <c r="O11" s="14"/>
      <c r="P11" s="14"/>
      <c r="Q11" s="15"/>
      <c r="R11" s="16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ht="22.5" customHeight="1">
      <c r="A12" s="7"/>
      <c r="B12" s="6"/>
      <c r="C12" s="7"/>
      <c r="D12" s="7"/>
      <c r="E12" s="8"/>
      <c r="F12" s="25"/>
      <c r="G12" s="25"/>
      <c r="H12" s="9"/>
      <c r="I12" s="9"/>
      <c r="J12" s="9"/>
      <c r="K12" s="14"/>
      <c r="L12" s="9"/>
      <c r="M12" s="14"/>
      <c r="N12" s="9"/>
      <c r="O12" s="9"/>
      <c r="P12" s="9"/>
      <c r="Q12" s="15"/>
      <c r="R12" s="16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ht="22.5" customHeight="1">
      <c r="A13" s="7"/>
      <c r="B13" s="6"/>
      <c r="C13" s="7"/>
      <c r="D13" s="7"/>
      <c r="E13" s="8"/>
      <c r="F13" s="25"/>
      <c r="G13" s="25"/>
      <c r="H13" s="9"/>
      <c r="I13" s="14"/>
      <c r="J13" s="14"/>
      <c r="K13" s="9"/>
      <c r="L13" s="9"/>
      <c r="M13" s="14"/>
      <c r="N13" s="9"/>
      <c r="O13" s="9"/>
      <c r="P13" s="9"/>
      <c r="Q13" s="15"/>
      <c r="R13" s="5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ht="22.5" customHeight="1">
      <c r="A14" s="7"/>
      <c r="B14" s="6"/>
      <c r="C14" s="7"/>
      <c r="D14" s="7"/>
      <c r="E14" s="8"/>
      <c r="F14" s="25"/>
      <c r="G14" s="25"/>
      <c r="H14" s="9"/>
      <c r="I14" s="9"/>
      <c r="J14" s="9"/>
      <c r="K14" s="14"/>
      <c r="L14" s="9"/>
      <c r="M14" s="14"/>
      <c r="N14" s="9"/>
      <c r="O14" s="9"/>
      <c r="P14" s="9"/>
      <c r="Q14" s="15"/>
      <c r="R14" s="5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ht="22.5" customHeight="1">
      <c r="A15" s="16"/>
      <c r="B15" s="40"/>
      <c r="C15" s="39"/>
      <c r="D15" s="39"/>
      <c r="E15" s="8"/>
      <c r="F15" s="8"/>
      <c r="G15" s="8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6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ht="22.5" customHeight="1">
      <c r="A16" s="16"/>
      <c r="B16" s="40"/>
      <c r="C16" s="39"/>
      <c r="D16" s="39"/>
      <c r="E16" s="8"/>
      <c r="F16" s="8"/>
      <c r="G16" s="8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6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ht="22.5" customHeight="1">
      <c r="A17" s="16"/>
      <c r="B17" s="40"/>
      <c r="C17" s="39"/>
      <c r="D17" s="39"/>
      <c r="E17" s="8"/>
      <c r="F17" s="8"/>
      <c r="G17" s="8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6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ht="22.5" customHeight="1">
      <c r="A18" s="16"/>
      <c r="B18" s="40"/>
      <c r="C18" s="39"/>
      <c r="D18" s="39"/>
      <c r="E18" s="8"/>
      <c r="F18" s="8"/>
      <c r="G18" s="8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6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ht="22.5" customHeight="1">
      <c r="A19" s="16"/>
      <c r="B19" s="40"/>
      <c r="C19" s="39"/>
      <c r="D19" s="39"/>
      <c r="E19" s="8"/>
      <c r="F19" s="8"/>
      <c r="G19" s="8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16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ht="22.5" customHeight="1">
      <c r="A20" s="16"/>
      <c r="B20" s="40"/>
      <c r="C20" s="39"/>
      <c r="D20" s="39"/>
      <c r="E20" s="8"/>
      <c r="F20" s="8"/>
      <c r="G20" s="8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6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ht="22.5" customHeight="1">
      <c r="A21" s="16"/>
      <c r="B21" s="40"/>
      <c r="C21" s="39"/>
      <c r="D21" s="39"/>
      <c r="E21" s="8"/>
      <c r="F21" s="8"/>
      <c r="G21" s="8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6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ht="22.5" customHeight="1">
      <c r="A22" s="16"/>
      <c r="B22" s="40"/>
      <c r="C22" s="39"/>
      <c r="D22" s="39"/>
      <c r="E22" s="8"/>
      <c r="F22" s="8"/>
      <c r="G22" s="8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6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ht="22.5" customHeight="1">
      <c r="A23" s="16"/>
      <c r="B23" s="40"/>
      <c r="C23" s="39"/>
      <c r="D23" s="39"/>
      <c r="E23" s="8"/>
      <c r="F23" s="8"/>
      <c r="G23" s="8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6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ht="22.5" customHeight="1">
      <c r="A24" s="16"/>
      <c r="B24" s="40"/>
      <c r="C24" s="39"/>
      <c r="D24" s="39"/>
      <c r="E24" s="8"/>
      <c r="F24" s="8"/>
      <c r="G24" s="8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16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ht="22.5" customHeight="1">
      <c r="A25" s="16"/>
      <c r="B25" s="40"/>
      <c r="C25" s="39"/>
      <c r="D25" s="39"/>
      <c r="E25" s="8"/>
      <c r="F25" s="8"/>
      <c r="G25" s="8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6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</sheetData>
  <customSheetViews>
    <customSheetView guid="{2E1EAC01-8BBB-46DA-8D70-17BBE008A636}" filter="1" showAutoFilter="1">
      <autoFilter ref="$A$1:$R$25">
        <sortState ref="A1:R25">
          <sortCondition ref="C1:C25"/>
        </sortState>
      </autoFilter>
    </customSheetView>
  </customSheetViews>
  <dataValidations>
    <dataValidation type="custom" allowBlank="1" showDropDown="1" sqref="C2:D25">
      <formula1>OR(NOT(ISERROR(DATEVALUE(C2))), AND(ISNUMBER(C2), LEFT(CELL("format", C2))="D"))</formula1>
    </dataValidation>
    <dataValidation type="custom" allowBlank="1" showDropDown="1" sqref="E2:H25 J2:M25 O2:Q25">
      <formula1>AND(ISNUMBER(E2),(NOT(OR(NOT(ISERROR(DATEVALUE(E2))), AND(ISNUMBER(E2), LEFT(CELL("format", E2))="D")))))</formula1>
    </dataValidation>
    <dataValidation allowBlank="1" showDropDown="1" sqref="A2:A25 R2:R25"/>
    <dataValidation type="list" allowBlank="1" sqref="B2:B25">
      <formula1>"Airbnb,Booking,Extra,Agenzia"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5" width="10.88"/>
    <col customWidth="1" min="6" max="6" width="27.25"/>
  </cols>
  <sheetData>
    <row r="1" ht="22.5" customHeight="1">
      <c r="A1" s="51" t="s">
        <v>68</v>
      </c>
      <c r="B1" s="51" t="s">
        <v>69</v>
      </c>
      <c r="C1" s="52" t="s">
        <v>70</v>
      </c>
      <c r="D1" s="51" t="s">
        <v>71</v>
      </c>
      <c r="E1" s="52" t="s">
        <v>72</v>
      </c>
      <c r="F1" s="51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22.5" customHeight="1">
      <c r="A2" s="53">
        <v>45672.0</v>
      </c>
      <c r="B2" s="54">
        <v>55.0</v>
      </c>
      <c r="C2" s="54">
        <v>62.0</v>
      </c>
      <c r="D2" s="54">
        <v>65.0</v>
      </c>
      <c r="E2" s="54">
        <v>73.0</v>
      </c>
      <c r="F2" s="55" t="s">
        <v>73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22.5" customHeight="1">
      <c r="A3" s="53">
        <v>45688.0</v>
      </c>
      <c r="B3" s="54">
        <v>55.0</v>
      </c>
      <c r="C3" s="54">
        <v>62.0</v>
      </c>
      <c r="D3" s="54">
        <v>65.0</v>
      </c>
      <c r="E3" s="54">
        <v>73.0</v>
      </c>
      <c r="F3" s="55" t="s">
        <v>73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22.5" customHeight="1">
      <c r="A4" s="53">
        <v>45703.0</v>
      </c>
      <c r="B4" s="54">
        <v>55.0</v>
      </c>
      <c r="C4" s="54">
        <v>62.0</v>
      </c>
      <c r="D4" s="54">
        <v>65.0</v>
      </c>
      <c r="E4" s="54">
        <v>73.0</v>
      </c>
      <c r="F4" s="55" t="s">
        <v>73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22.5" customHeight="1">
      <c r="A5" s="53">
        <v>45716.0</v>
      </c>
      <c r="B5" s="54">
        <v>55.0</v>
      </c>
      <c r="C5" s="54">
        <v>62.0</v>
      </c>
      <c r="D5" s="54">
        <v>65.0</v>
      </c>
      <c r="E5" s="54">
        <v>73.0</v>
      </c>
      <c r="F5" s="55" t="s">
        <v>73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2.5" customHeight="1">
      <c r="A6" s="53">
        <v>45731.0</v>
      </c>
      <c r="B6" s="54">
        <v>55.0</v>
      </c>
      <c r="C6" s="54">
        <v>62.0</v>
      </c>
      <c r="D6" s="54">
        <v>70.0</v>
      </c>
      <c r="E6" s="54">
        <v>78.0</v>
      </c>
      <c r="F6" s="55" t="s">
        <v>74</v>
      </c>
      <c r="G6" s="12"/>
      <c r="H6" s="12"/>
      <c r="I6" s="12"/>
      <c r="J6" s="56"/>
      <c r="K6" s="56"/>
      <c r="L6" s="56"/>
      <c r="M6" s="56"/>
      <c r="N6" s="56"/>
      <c r="O6" s="56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2.5" customHeight="1">
      <c r="A7" s="53">
        <v>45747.0</v>
      </c>
      <c r="B7" s="54">
        <v>55.0</v>
      </c>
      <c r="C7" s="54">
        <v>62.0</v>
      </c>
      <c r="D7" s="54">
        <v>70.0</v>
      </c>
      <c r="E7" s="54">
        <v>78.0</v>
      </c>
      <c r="F7" s="55" t="s">
        <v>73</v>
      </c>
      <c r="G7" s="12"/>
      <c r="H7" s="12"/>
      <c r="I7" s="12"/>
      <c r="J7" s="57"/>
      <c r="K7" s="58"/>
      <c r="L7" s="58"/>
      <c r="M7" s="58"/>
      <c r="N7" s="58"/>
      <c r="O7" s="59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2.5" customHeight="1">
      <c r="A8" s="53">
        <v>45762.0</v>
      </c>
      <c r="B8" s="54">
        <v>60.0</v>
      </c>
      <c r="C8" s="54">
        <v>67.0</v>
      </c>
      <c r="D8" s="54">
        <v>85.0</v>
      </c>
      <c r="E8" s="54">
        <v>95.0</v>
      </c>
      <c r="F8" s="55" t="s">
        <v>75</v>
      </c>
      <c r="G8" s="12"/>
      <c r="H8" s="12"/>
      <c r="I8" s="12"/>
      <c r="J8" s="57"/>
      <c r="K8" s="58"/>
      <c r="L8" s="58"/>
      <c r="M8" s="58"/>
      <c r="N8" s="58"/>
      <c r="O8" s="5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2.5" customHeight="1">
      <c r="A9" s="53">
        <v>45777.0</v>
      </c>
      <c r="B9" s="54">
        <v>80.0</v>
      </c>
      <c r="C9" s="54">
        <v>90.0</v>
      </c>
      <c r="D9" s="54">
        <v>105.0</v>
      </c>
      <c r="E9" s="54">
        <v>118.0</v>
      </c>
      <c r="F9" s="55" t="s">
        <v>76</v>
      </c>
      <c r="G9" s="12"/>
      <c r="H9" s="12"/>
      <c r="I9" s="12"/>
      <c r="J9" s="57"/>
      <c r="K9" s="58"/>
      <c r="L9" s="58"/>
      <c r="M9" s="58"/>
      <c r="N9" s="58"/>
      <c r="O9" s="5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2.5" customHeight="1">
      <c r="A10" s="53">
        <v>45792.0</v>
      </c>
      <c r="B10" s="54">
        <v>65.0</v>
      </c>
      <c r="C10" s="54">
        <v>73.0</v>
      </c>
      <c r="D10" s="54">
        <v>95.0</v>
      </c>
      <c r="E10" s="54">
        <v>106.0</v>
      </c>
      <c r="F10" s="55" t="s">
        <v>77</v>
      </c>
      <c r="G10" s="12"/>
      <c r="H10" s="12"/>
      <c r="I10" s="12"/>
      <c r="J10" s="57"/>
      <c r="K10" s="58"/>
      <c r="L10" s="58"/>
      <c r="M10" s="58"/>
      <c r="N10" s="58"/>
      <c r="O10" s="59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2.5" customHeight="1">
      <c r="A11" s="53">
        <v>45808.0</v>
      </c>
      <c r="B11" s="54">
        <v>75.0</v>
      </c>
      <c r="C11" s="54">
        <v>84.0</v>
      </c>
      <c r="D11" s="54">
        <v>105.0</v>
      </c>
      <c r="E11" s="54">
        <v>118.0</v>
      </c>
      <c r="F11" s="55" t="s">
        <v>78</v>
      </c>
      <c r="G11" s="12"/>
      <c r="H11" s="12"/>
      <c r="I11" s="12"/>
      <c r="J11" s="57"/>
      <c r="K11" s="58"/>
      <c r="L11" s="58"/>
      <c r="M11" s="58"/>
      <c r="N11" s="58"/>
      <c r="O11" s="59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2.5" customHeight="1">
      <c r="A12" s="53">
        <v>45823.0</v>
      </c>
      <c r="B12" s="54">
        <v>80.0</v>
      </c>
      <c r="C12" s="54">
        <v>90.0</v>
      </c>
      <c r="D12" s="54">
        <v>115.0</v>
      </c>
      <c r="E12" s="54">
        <v>129.0</v>
      </c>
      <c r="F12" s="55" t="s">
        <v>79</v>
      </c>
      <c r="G12" s="12"/>
      <c r="H12" s="12"/>
      <c r="I12" s="12"/>
      <c r="J12" s="57"/>
      <c r="K12" s="58"/>
      <c r="L12" s="58"/>
      <c r="M12" s="58"/>
      <c r="N12" s="58"/>
      <c r="O12" s="5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2.5" customHeight="1">
      <c r="A13" s="53">
        <v>45838.0</v>
      </c>
      <c r="B13" s="54">
        <v>90.0</v>
      </c>
      <c r="C13" s="54">
        <v>101.0</v>
      </c>
      <c r="D13" s="54">
        <v>130.0</v>
      </c>
      <c r="E13" s="54">
        <v>146.0</v>
      </c>
      <c r="F13" s="55" t="s">
        <v>80</v>
      </c>
      <c r="G13" s="12"/>
      <c r="H13" s="12"/>
      <c r="I13" s="12"/>
      <c r="J13" s="57"/>
      <c r="K13" s="58"/>
      <c r="L13" s="58"/>
      <c r="M13" s="58"/>
      <c r="N13" s="58"/>
      <c r="O13" s="5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2.5" customHeight="1">
      <c r="A14" s="53">
        <v>45853.0</v>
      </c>
      <c r="B14" s="54">
        <v>115.0</v>
      </c>
      <c r="C14" s="54">
        <v>129.0</v>
      </c>
      <c r="D14" s="54">
        <v>170.0</v>
      </c>
      <c r="E14" s="54">
        <v>190.0</v>
      </c>
      <c r="F14" s="55" t="s">
        <v>81</v>
      </c>
      <c r="G14" s="12"/>
      <c r="H14" s="12"/>
      <c r="I14" s="12"/>
      <c r="J14" s="57"/>
      <c r="K14" s="58"/>
      <c r="L14" s="58"/>
      <c r="M14" s="58"/>
      <c r="N14" s="58"/>
      <c r="O14" s="5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2.5" customHeight="1">
      <c r="A15" s="53">
        <v>45869.0</v>
      </c>
      <c r="B15" s="54">
        <v>125.0</v>
      </c>
      <c r="C15" s="54">
        <v>140.0</v>
      </c>
      <c r="D15" s="54">
        <v>180.0</v>
      </c>
      <c r="E15" s="54">
        <v>202.0</v>
      </c>
      <c r="F15" s="55" t="s">
        <v>82</v>
      </c>
      <c r="G15" s="12"/>
      <c r="H15" s="12"/>
      <c r="I15" s="12"/>
      <c r="J15" s="57"/>
      <c r="K15" s="58"/>
      <c r="L15" s="58"/>
      <c r="M15" s="58"/>
      <c r="N15" s="58"/>
      <c r="O15" s="59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2.5" customHeight="1">
      <c r="A16" s="53">
        <v>45884.0</v>
      </c>
      <c r="B16" s="54">
        <v>130.0</v>
      </c>
      <c r="C16" s="54">
        <v>146.0</v>
      </c>
      <c r="D16" s="54">
        <v>190.0</v>
      </c>
      <c r="E16" s="54">
        <v>213.0</v>
      </c>
      <c r="F16" s="55" t="s">
        <v>83</v>
      </c>
      <c r="G16" s="12"/>
      <c r="H16" s="12"/>
      <c r="I16" s="12"/>
      <c r="J16" s="57"/>
      <c r="K16" s="58"/>
      <c r="L16" s="58"/>
      <c r="M16" s="58"/>
      <c r="N16" s="58"/>
      <c r="O16" s="59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2.5" customHeight="1">
      <c r="A17" s="53">
        <v>45900.0</v>
      </c>
      <c r="B17" s="54">
        <v>120.0</v>
      </c>
      <c r="C17" s="54">
        <v>134.0</v>
      </c>
      <c r="D17" s="54">
        <v>185.0</v>
      </c>
      <c r="E17" s="54">
        <v>207.0</v>
      </c>
      <c r="F17" s="55" t="s">
        <v>84</v>
      </c>
      <c r="G17" s="12"/>
      <c r="H17" s="12"/>
      <c r="I17" s="12"/>
      <c r="J17" s="57"/>
      <c r="K17" s="58"/>
      <c r="L17" s="58"/>
      <c r="M17" s="58"/>
      <c r="N17" s="58"/>
      <c r="O17" s="59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2.5" customHeight="1">
      <c r="A18" s="53">
        <v>45915.0</v>
      </c>
      <c r="B18" s="54">
        <v>90.0</v>
      </c>
      <c r="C18" s="54">
        <v>101.0</v>
      </c>
      <c r="D18" s="54">
        <v>125.0</v>
      </c>
      <c r="E18" s="54">
        <v>140.0</v>
      </c>
      <c r="F18" s="55" t="s">
        <v>85</v>
      </c>
      <c r="G18" s="12"/>
      <c r="H18" s="12"/>
      <c r="I18" s="12"/>
      <c r="J18" s="57"/>
      <c r="K18" s="58"/>
      <c r="L18" s="58"/>
      <c r="M18" s="58"/>
      <c r="N18" s="58"/>
      <c r="O18" s="59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2.5" customHeight="1">
      <c r="A19" s="53">
        <v>45930.0</v>
      </c>
      <c r="B19" s="54">
        <v>80.0</v>
      </c>
      <c r="C19" s="54">
        <v>90.0</v>
      </c>
      <c r="D19" s="54">
        <v>115.0</v>
      </c>
      <c r="E19" s="54">
        <v>129.0</v>
      </c>
      <c r="F19" s="55" t="s">
        <v>86</v>
      </c>
      <c r="G19" s="12"/>
      <c r="H19" s="12"/>
      <c r="I19" s="12"/>
      <c r="J19" s="57"/>
      <c r="K19" s="58"/>
      <c r="L19" s="58"/>
      <c r="M19" s="58"/>
      <c r="N19" s="58"/>
      <c r="O19" s="5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2.5" customHeight="1">
      <c r="A20" s="53">
        <v>45945.0</v>
      </c>
      <c r="B20" s="54">
        <v>70.0</v>
      </c>
      <c r="C20" s="54">
        <v>79.0</v>
      </c>
      <c r="D20" s="54">
        <v>95.0</v>
      </c>
      <c r="E20" s="54">
        <v>106.0</v>
      </c>
      <c r="F20" s="55" t="s">
        <v>73</v>
      </c>
      <c r="G20" s="12"/>
      <c r="H20" s="12"/>
      <c r="I20" s="12"/>
      <c r="J20" s="57"/>
      <c r="K20" s="58"/>
      <c r="L20" s="58"/>
      <c r="M20" s="58"/>
      <c r="N20" s="58"/>
      <c r="O20" s="5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22.5" customHeight="1">
      <c r="A21" s="53">
        <v>45961.0</v>
      </c>
      <c r="B21" s="54">
        <v>75.0</v>
      </c>
      <c r="C21" s="54">
        <v>84.0</v>
      </c>
      <c r="D21" s="54">
        <v>110.0</v>
      </c>
      <c r="E21" s="54">
        <v>123.0</v>
      </c>
      <c r="F21" s="55" t="s">
        <v>87</v>
      </c>
      <c r="G21" s="12"/>
      <c r="H21" s="12"/>
      <c r="I21" s="12"/>
      <c r="J21" s="57"/>
      <c r="K21" s="58"/>
      <c r="L21" s="58"/>
      <c r="M21" s="58"/>
      <c r="N21" s="58"/>
      <c r="O21" s="59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22.5" customHeight="1">
      <c r="A22" s="53">
        <v>45976.0</v>
      </c>
      <c r="B22" s="54">
        <v>55.0</v>
      </c>
      <c r="C22" s="54">
        <v>62.0</v>
      </c>
      <c r="D22" s="54">
        <v>75.0</v>
      </c>
      <c r="E22" s="54">
        <v>84.0</v>
      </c>
      <c r="F22" s="55" t="s">
        <v>73</v>
      </c>
      <c r="G22" s="12"/>
      <c r="H22" s="12"/>
      <c r="I22" s="12"/>
      <c r="J22" s="57"/>
      <c r="K22" s="58"/>
      <c r="L22" s="58"/>
      <c r="M22" s="58"/>
      <c r="N22" s="58"/>
      <c r="O22" s="59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22.5" customHeight="1">
      <c r="A23" s="53">
        <v>45991.0</v>
      </c>
      <c r="B23" s="54">
        <v>55.0</v>
      </c>
      <c r="C23" s="54">
        <v>62.0</v>
      </c>
      <c r="D23" s="54">
        <v>75.0</v>
      </c>
      <c r="E23" s="54">
        <v>84.0</v>
      </c>
      <c r="F23" s="55" t="s">
        <v>73</v>
      </c>
      <c r="G23" s="12"/>
      <c r="H23" s="12"/>
      <c r="I23" s="12"/>
      <c r="J23" s="57"/>
      <c r="K23" s="58"/>
      <c r="L23" s="58"/>
      <c r="M23" s="58"/>
      <c r="N23" s="58"/>
      <c r="O23" s="5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22.5" customHeight="1">
      <c r="A24" s="53">
        <v>46006.0</v>
      </c>
      <c r="B24" s="54">
        <v>55.0</v>
      </c>
      <c r="C24" s="54">
        <v>62.0</v>
      </c>
      <c r="D24" s="54">
        <v>80.0</v>
      </c>
      <c r="E24" s="54">
        <v>90.0</v>
      </c>
      <c r="F24" s="55" t="s">
        <v>88</v>
      </c>
      <c r="G24" s="12"/>
      <c r="H24" s="12"/>
      <c r="I24" s="12"/>
      <c r="J24" s="57"/>
      <c r="K24" s="58"/>
      <c r="L24" s="58"/>
      <c r="M24" s="58"/>
      <c r="N24" s="58"/>
      <c r="O24" s="59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22.5" customHeight="1">
      <c r="A25" s="53">
        <v>46022.0</v>
      </c>
      <c r="B25" s="54">
        <v>70.0</v>
      </c>
      <c r="C25" s="54">
        <v>79.0</v>
      </c>
      <c r="D25" s="54">
        <v>95.0</v>
      </c>
      <c r="E25" s="54">
        <v>106.0</v>
      </c>
      <c r="F25" s="55" t="s">
        <v>89</v>
      </c>
      <c r="G25" s="12"/>
      <c r="H25" s="12"/>
      <c r="I25" s="12"/>
      <c r="J25" s="57"/>
      <c r="K25" s="58"/>
      <c r="L25" s="58"/>
      <c r="M25" s="58"/>
      <c r="N25" s="58"/>
      <c r="O25" s="5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57"/>
      <c r="K26" s="58"/>
      <c r="L26" s="58"/>
      <c r="M26" s="58"/>
      <c r="N26" s="58"/>
      <c r="O26" s="59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57"/>
      <c r="K27" s="58"/>
      <c r="L27" s="58"/>
      <c r="M27" s="58"/>
      <c r="N27" s="58"/>
      <c r="O27" s="59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57"/>
      <c r="K28" s="58"/>
      <c r="L28" s="58"/>
      <c r="M28" s="58"/>
      <c r="N28" s="58"/>
      <c r="O28" s="59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57"/>
      <c r="K29" s="58"/>
      <c r="L29" s="58"/>
      <c r="M29" s="58"/>
      <c r="N29" s="58"/>
      <c r="O29" s="59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57"/>
      <c r="K30" s="58"/>
      <c r="L30" s="58"/>
      <c r="M30" s="58"/>
      <c r="N30" s="58"/>
      <c r="O30" s="59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conditionalFormatting sqref="B2:E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A2:A25">
      <formula1>OR(NOT(ISERROR(DATEVALUE(A2))), AND(ISNUMBER(A2), LEFT(CELL("format", A2))="D"))</formula1>
    </dataValidation>
    <dataValidation type="custom" allowBlank="1" showDropDown="1" sqref="B2:B25 D2:D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0" t="s">
        <v>90</v>
      </c>
      <c r="B2" s="61" t="s">
        <v>24</v>
      </c>
      <c r="C2" s="60">
        <v>45896.0</v>
      </c>
      <c r="D2" s="60">
        <v>45903.0</v>
      </c>
      <c r="E2" s="62">
        <f>D2-C2</f>
        <v>7</v>
      </c>
      <c r="F2" s="63">
        <v>2.0</v>
      </c>
      <c r="G2" s="63">
        <v>1.0</v>
      </c>
      <c r="H2" s="62"/>
      <c r="I2" s="64">
        <v>830.0</v>
      </c>
      <c r="J2" s="65"/>
      <c r="K2" s="64">
        <v>740.0</v>
      </c>
      <c r="L2" s="66">
        <v>106.0</v>
      </c>
      <c r="M2" s="64">
        <v>90.0</v>
      </c>
      <c r="N2" s="65"/>
      <c r="O2" s="67">
        <v>14.0</v>
      </c>
      <c r="P2" s="64">
        <v>137.0</v>
      </c>
      <c r="Q2" s="68">
        <f>I2*21/100</f>
        <v>174.3</v>
      </c>
      <c r="R2" s="69">
        <f>K2+M2-N2-P2-Q2+J2</f>
        <v>518.7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9.63"/>
    <col customWidth="1" min="3" max="3" width="13.13"/>
    <col customWidth="1" min="4" max="4" width="22.63"/>
  </cols>
  <sheetData>
    <row r="1" ht="22.5" customHeight="1">
      <c r="A1" s="70" t="s">
        <v>0</v>
      </c>
      <c r="B1" s="70" t="s">
        <v>91</v>
      </c>
      <c r="C1" s="70" t="s">
        <v>92</v>
      </c>
      <c r="D1" s="70" t="s">
        <v>18</v>
      </c>
    </row>
    <row r="2" ht="22.5" customHeight="1">
      <c r="A2" s="71" t="s">
        <v>93</v>
      </c>
      <c r="B2" s="9">
        <v>27.0</v>
      </c>
      <c r="C2" s="13" t="s">
        <v>94</v>
      </c>
      <c r="D2" s="72"/>
    </row>
    <row r="3" ht="22.5" customHeight="1">
      <c r="A3" s="73" t="s">
        <v>95</v>
      </c>
      <c r="B3" s="74">
        <v>40.0</v>
      </c>
      <c r="C3" s="75" t="s">
        <v>96</v>
      </c>
      <c r="D3" s="76"/>
    </row>
    <row r="4" ht="22.5" customHeight="1">
      <c r="A4" s="77" t="s">
        <v>97</v>
      </c>
      <c r="B4" s="14">
        <f>sum(Affitti3!R7:R20)*15/100</f>
        <v>1015.3875</v>
      </c>
      <c r="C4" s="13" t="s">
        <v>94</v>
      </c>
      <c r="D4" s="77" t="s">
        <v>98</v>
      </c>
    </row>
    <row r="5" ht="22.5" customHeight="1">
      <c r="A5" s="77" t="s">
        <v>99</v>
      </c>
      <c r="B5" s="14">
        <f>15*90</f>
        <v>1350</v>
      </c>
      <c r="C5" s="13" t="s">
        <v>94</v>
      </c>
      <c r="D5" s="77" t="s">
        <v>100</v>
      </c>
    </row>
    <row r="6" ht="22.5" customHeight="1">
      <c r="A6" s="72"/>
      <c r="B6" s="14"/>
      <c r="C6" s="40"/>
      <c r="D6" s="72"/>
    </row>
    <row r="7" ht="22.5" customHeight="1">
      <c r="A7" s="72"/>
      <c r="B7" s="14"/>
      <c r="C7" s="40"/>
      <c r="D7" s="72"/>
    </row>
    <row r="8" ht="22.5" customHeight="1">
      <c r="A8" s="72"/>
      <c r="B8" s="14"/>
      <c r="C8" s="40"/>
      <c r="D8" s="72"/>
    </row>
    <row r="9" ht="22.5" customHeight="1">
      <c r="A9" s="72"/>
      <c r="B9" s="14"/>
      <c r="C9" s="40"/>
      <c r="D9" s="72"/>
    </row>
    <row r="10" ht="22.5" customHeight="1">
      <c r="A10" s="72"/>
      <c r="B10" s="14"/>
      <c r="C10" s="40"/>
      <c r="D10" s="72"/>
    </row>
    <row r="11" ht="22.5" customHeight="1">
      <c r="A11" s="72"/>
      <c r="B11" s="14"/>
      <c r="C11" s="40"/>
      <c r="D11" s="72"/>
    </row>
    <row r="12" ht="22.5" customHeight="1">
      <c r="A12" s="72"/>
      <c r="B12" s="14"/>
      <c r="C12" s="40"/>
      <c r="D12" s="72"/>
    </row>
    <row r="13" ht="22.5" customHeight="1">
      <c r="A13" s="72"/>
      <c r="B13" s="14"/>
      <c r="C13" s="40"/>
      <c r="D13" s="72"/>
    </row>
    <row r="14" ht="22.5" customHeight="1">
      <c r="A14" s="72"/>
      <c r="B14" s="14"/>
      <c r="C14" s="40"/>
      <c r="D14" s="72"/>
    </row>
    <row r="15" ht="22.5" customHeight="1">
      <c r="A15" s="72"/>
      <c r="B15" s="14"/>
      <c r="C15" s="40"/>
      <c r="D15" s="72"/>
    </row>
  </sheetData>
  <dataValidations>
    <dataValidation type="list" allowBlank="1" sqref="C2:C15">
      <formula1>"app 3,app 4,app 8"</formula1>
    </dataValidation>
    <dataValidation type="custom" allowBlank="1" showDropDown="1" sqref="B2:B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78" t="s">
        <v>101</v>
      </c>
      <c r="B1" s="79">
        <v>45672.0</v>
      </c>
      <c r="C1" s="80">
        <v>45688.0</v>
      </c>
      <c r="D1" s="79">
        <v>45702.0</v>
      </c>
      <c r="E1" s="81">
        <v>45716.0</v>
      </c>
      <c r="F1" s="79">
        <v>45731.0</v>
      </c>
      <c r="G1" s="81">
        <v>45747.0</v>
      </c>
      <c r="H1" s="80">
        <v>45762.0</v>
      </c>
      <c r="I1" s="80">
        <v>45777.0</v>
      </c>
      <c r="J1" s="79">
        <v>45792.0</v>
      </c>
      <c r="K1" s="81">
        <v>45808.0</v>
      </c>
      <c r="L1" s="80">
        <v>45823.0</v>
      </c>
      <c r="M1" s="80">
        <v>45838.0</v>
      </c>
      <c r="N1" s="79">
        <v>45853.0</v>
      </c>
      <c r="O1" s="81">
        <v>45869.0</v>
      </c>
      <c r="P1" s="80">
        <v>45884.0</v>
      </c>
      <c r="Q1" s="80">
        <v>45900.0</v>
      </c>
      <c r="R1" s="79">
        <v>45915.0</v>
      </c>
      <c r="S1" s="81">
        <v>45930.0</v>
      </c>
      <c r="T1" s="80">
        <v>45945.0</v>
      </c>
      <c r="U1" s="80">
        <v>45961.0</v>
      </c>
      <c r="V1" s="79">
        <v>45976.0</v>
      </c>
      <c r="W1" s="81">
        <v>45991.0</v>
      </c>
      <c r="X1" s="79">
        <v>46006.0</v>
      </c>
      <c r="Y1" s="81">
        <v>46022.0</v>
      </c>
      <c r="Z1" s="78"/>
      <c r="AA1" s="82"/>
    </row>
    <row r="2">
      <c r="A2" s="83" t="s">
        <v>69</v>
      </c>
      <c r="B2" s="84">
        <v>50.0</v>
      </c>
      <c r="C2" s="84">
        <v>50.0</v>
      </c>
      <c r="D2" s="84">
        <v>50.0</v>
      </c>
      <c r="E2" s="84">
        <v>50.0</v>
      </c>
      <c r="F2" s="84">
        <v>50.0</v>
      </c>
      <c r="G2" s="84">
        <v>50.0</v>
      </c>
      <c r="H2" s="84">
        <v>55.0</v>
      </c>
      <c r="I2" s="84">
        <v>75.0</v>
      </c>
      <c r="J2" s="84">
        <v>60.0</v>
      </c>
      <c r="K2" s="84">
        <v>65.0</v>
      </c>
      <c r="L2" s="84">
        <v>80.0</v>
      </c>
      <c r="M2" s="84">
        <v>85.0</v>
      </c>
      <c r="N2" s="84">
        <v>98.0</v>
      </c>
      <c r="O2" s="84">
        <v>98.0</v>
      </c>
      <c r="P2" s="84">
        <v>98.0</v>
      </c>
      <c r="Q2" s="84">
        <v>98.0</v>
      </c>
      <c r="R2" s="84">
        <v>75.0</v>
      </c>
      <c r="S2" s="84">
        <v>75.0</v>
      </c>
      <c r="T2" s="84">
        <v>65.0</v>
      </c>
      <c r="U2" s="84">
        <v>65.0</v>
      </c>
      <c r="V2" s="84">
        <v>60.0</v>
      </c>
      <c r="W2" s="84">
        <v>50.0</v>
      </c>
      <c r="X2" s="84">
        <v>50.0</v>
      </c>
      <c r="Y2" s="84">
        <v>50.0</v>
      </c>
      <c r="Z2" s="85"/>
      <c r="AA2" s="85"/>
    </row>
    <row r="3">
      <c r="A3" s="86" t="s">
        <v>102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87" t="s">
        <v>71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88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88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88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88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89" t="s">
        <v>103</v>
      </c>
      <c r="B9" s="90"/>
      <c r="C9" s="91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92" t="s">
        <v>104</v>
      </c>
      <c r="B10" s="93" t="s">
        <v>105</v>
      </c>
      <c r="C10" s="94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92" t="s">
        <v>87</v>
      </c>
      <c r="B11" s="93" t="s">
        <v>106</v>
      </c>
      <c r="C11" s="9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95" t="s">
        <v>107</v>
      </c>
      <c r="B12" s="96" t="s">
        <v>108</v>
      </c>
      <c r="C12" s="97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88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8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88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88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98" t="s">
        <v>109</v>
      </c>
      <c r="B17" s="99">
        <v>45672.0</v>
      </c>
      <c r="C17" s="99">
        <v>45688.0</v>
      </c>
      <c r="D17" s="99">
        <v>45702.0</v>
      </c>
      <c r="E17" s="99">
        <v>45716.0</v>
      </c>
      <c r="F17" s="99">
        <v>45731.0</v>
      </c>
      <c r="G17" s="99">
        <v>45747.0</v>
      </c>
      <c r="H17" s="99">
        <v>45762.0</v>
      </c>
      <c r="I17" s="99">
        <v>45777.0</v>
      </c>
      <c r="J17" s="99">
        <v>45792.0</v>
      </c>
      <c r="K17" s="99">
        <v>45808.0</v>
      </c>
      <c r="L17" s="99">
        <v>45823.0</v>
      </c>
      <c r="M17" s="99">
        <v>45838.0</v>
      </c>
      <c r="N17" s="99">
        <v>45853.0</v>
      </c>
      <c r="O17" s="99">
        <v>45869.0</v>
      </c>
      <c r="P17" s="99">
        <v>45884.0</v>
      </c>
      <c r="Q17" s="99">
        <v>45900.0</v>
      </c>
      <c r="R17" s="99">
        <v>45915.0</v>
      </c>
      <c r="S17" s="99">
        <v>45930.0</v>
      </c>
      <c r="T17" s="99">
        <v>45945.0</v>
      </c>
      <c r="U17" s="99">
        <v>45961.0</v>
      </c>
      <c r="V17" s="99">
        <v>45976.0</v>
      </c>
      <c r="W17" s="99">
        <v>45991.0</v>
      </c>
      <c r="X17" s="99">
        <v>46006.0</v>
      </c>
      <c r="Y17" s="99">
        <v>46022.0</v>
      </c>
      <c r="Z17" s="85"/>
      <c r="AA17" s="85"/>
    </row>
    <row r="18">
      <c r="A18" s="100" t="s">
        <v>69</v>
      </c>
      <c r="B18" s="101">
        <v>55.0</v>
      </c>
      <c r="C18" s="101">
        <v>55.0</v>
      </c>
      <c r="D18" s="101">
        <v>55.0</v>
      </c>
      <c r="E18" s="101">
        <v>55.0</v>
      </c>
      <c r="F18" s="101">
        <v>55.0</v>
      </c>
      <c r="G18" s="101">
        <v>55.0</v>
      </c>
      <c r="H18" s="101">
        <v>60.0</v>
      </c>
      <c r="I18" s="101">
        <v>90.0</v>
      </c>
      <c r="J18" s="101">
        <v>65.0</v>
      </c>
      <c r="K18" s="101">
        <v>70.0</v>
      </c>
      <c r="L18" s="101">
        <v>85.0</v>
      </c>
      <c r="M18" s="101">
        <v>90.0</v>
      </c>
      <c r="N18" s="101">
        <v>110.0</v>
      </c>
      <c r="O18" s="101">
        <v>115.0</v>
      </c>
      <c r="P18" s="101">
        <v>125.0</v>
      </c>
      <c r="Q18" s="101">
        <v>125.0</v>
      </c>
      <c r="R18" s="101">
        <v>85.0</v>
      </c>
      <c r="S18" s="101">
        <v>95.0</v>
      </c>
      <c r="T18" s="101">
        <v>70.0</v>
      </c>
      <c r="U18" s="101">
        <v>85.0</v>
      </c>
      <c r="V18" s="101">
        <v>60.0</v>
      </c>
      <c r="W18" s="101">
        <v>55.0</v>
      </c>
      <c r="X18" s="101">
        <v>55.0</v>
      </c>
      <c r="Y18" s="101">
        <v>60.0</v>
      </c>
      <c r="Z18" s="85"/>
      <c r="AA18" s="85"/>
    </row>
    <row r="19">
      <c r="A19" s="100" t="s">
        <v>71</v>
      </c>
      <c r="B19" s="101">
        <v>75.0</v>
      </c>
      <c r="C19" s="101">
        <v>75.0</v>
      </c>
      <c r="D19" s="101">
        <v>75.0</v>
      </c>
      <c r="E19" s="101">
        <v>80.0</v>
      </c>
      <c r="F19" s="101">
        <v>80.0</v>
      </c>
      <c r="G19" s="101">
        <v>80.0</v>
      </c>
      <c r="H19" s="101">
        <v>95.0</v>
      </c>
      <c r="I19" s="101">
        <v>120.0</v>
      </c>
      <c r="J19" s="101">
        <v>100.0</v>
      </c>
      <c r="K19" s="101">
        <v>105.0</v>
      </c>
      <c r="L19" s="101">
        <v>120.0</v>
      </c>
      <c r="M19" s="101">
        <v>130.0</v>
      </c>
      <c r="N19" s="101">
        <v>160.0</v>
      </c>
      <c r="O19" s="101">
        <v>180.0</v>
      </c>
      <c r="P19" s="101">
        <v>190.0</v>
      </c>
      <c r="Q19" s="101">
        <v>200.0</v>
      </c>
      <c r="R19" s="101">
        <v>120.0</v>
      </c>
      <c r="S19" s="101">
        <v>140.0</v>
      </c>
      <c r="T19" s="101">
        <v>95.0</v>
      </c>
      <c r="U19" s="101">
        <v>120.0</v>
      </c>
      <c r="V19" s="101">
        <v>80.0</v>
      </c>
      <c r="W19" s="101">
        <v>75.0</v>
      </c>
      <c r="X19" s="101">
        <v>80.0</v>
      </c>
      <c r="Y19" s="101">
        <v>90.0</v>
      </c>
      <c r="Z19" s="85"/>
      <c r="AA19" s="85"/>
    </row>
    <row r="20">
      <c r="A20" s="88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>
      <c r="A21" s="88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88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88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>
      <c r="A24" s="88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>
      <c r="A25" s="88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>
      <c r="A26" s="88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>
      <c r="A27" s="88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88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88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88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88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88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88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88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88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88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88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8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8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8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88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8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8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8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8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8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8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8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8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8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8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8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8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8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8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8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8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8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8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8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8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8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8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8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8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8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8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8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8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8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8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8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8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8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8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8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8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8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8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8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8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8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8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8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8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8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8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8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8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8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8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8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8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8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8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8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8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8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8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8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8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8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8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8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8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8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8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8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8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8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8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8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8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8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8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8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8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8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8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8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8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8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8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8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8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8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8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8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8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8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8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8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8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8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8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8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8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8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8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8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8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8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8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8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8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8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8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8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8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8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8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8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8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8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8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8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8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8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8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8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8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8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8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8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8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8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8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8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8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8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8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8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8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8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8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8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8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8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8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8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8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8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8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8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8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8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8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8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8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8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8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8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8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8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8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8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8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8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8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8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8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8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8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8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8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8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8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8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8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8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8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8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8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8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8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8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8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8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8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8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8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8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8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8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8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8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8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8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8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8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8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8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8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8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8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8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8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8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8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8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8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8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8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8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8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8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8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8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8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8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8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8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8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8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8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8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8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8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8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8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8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8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8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8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8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8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8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8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8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8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8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8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8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8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8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8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8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8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8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8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8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8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8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8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8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8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8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8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8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8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8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8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8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8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8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8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8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8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8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8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8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8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8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8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8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8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8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8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8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8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8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8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8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8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8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8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8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8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8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8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8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8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8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8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8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8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8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8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8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8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8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8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8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8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8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8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8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8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8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8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8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8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8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88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88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88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88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88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88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88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88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88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88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88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88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88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88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88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88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88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88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88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88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88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88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88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88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88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88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88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88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88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88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88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88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88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88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88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88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88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88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88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88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88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88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88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88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88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88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88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88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88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88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88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88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88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88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88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88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88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88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88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88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88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88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88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88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88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88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88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88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88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88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88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88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88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88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88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88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88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88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88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88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88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88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88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88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88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88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88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88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88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88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88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88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88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88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88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88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88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88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88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88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88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88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88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88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88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88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88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88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88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88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88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88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88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88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88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88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88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88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88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88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88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88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88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88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88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88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88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88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88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88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88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88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88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88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88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88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88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88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88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88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88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88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88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88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88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88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88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88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88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88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88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88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88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88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88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88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88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88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88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88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88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88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88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88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88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88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88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88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88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88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88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88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88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88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88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88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88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88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88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88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88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88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88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88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88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88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88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88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88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88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88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88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88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88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88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88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88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88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88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88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88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88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88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88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88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88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88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88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88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88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88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88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88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88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88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88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88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88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88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88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88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88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88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88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88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88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88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88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88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88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88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88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88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88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88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88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88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88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88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88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88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88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88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88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88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88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88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88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88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88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88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88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88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88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88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88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88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88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88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88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88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88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88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88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88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88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88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88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88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88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88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88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88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88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88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88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88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88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88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88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88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88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88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88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88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88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88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88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88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88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88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88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88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88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88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88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88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88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88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88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88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88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88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88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88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88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88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88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88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88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88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88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88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88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88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88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88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88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88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88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88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88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88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88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88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88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88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88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88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88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88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88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88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88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88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88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88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88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88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88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88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88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88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88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88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88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88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88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88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88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88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88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88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88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88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88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88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88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88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88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88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88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88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88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88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88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88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88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88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88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88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88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88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88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88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88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88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88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88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88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88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88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88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88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88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88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88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88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88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88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88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88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88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88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88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88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88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88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88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88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88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88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88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88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88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88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88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88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88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88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88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88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88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88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88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88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88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88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88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88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88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88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88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88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88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88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88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88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88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88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88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88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88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88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88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88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88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88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88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88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88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88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88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88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88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88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88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88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88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88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88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88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88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88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88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88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88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88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88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88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88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88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88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88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88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88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88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88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88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88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88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88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88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88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88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88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88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88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88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88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88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88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88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88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88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88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88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88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88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88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88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88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88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88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88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88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88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88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88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88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88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88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88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88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88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88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88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88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88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88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88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88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88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88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88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88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88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88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88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88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88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88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88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88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88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88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88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88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88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88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88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88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88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88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88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88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88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88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88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88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88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88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88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88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88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88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88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88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88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88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88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88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88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88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88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88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88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88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88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88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88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88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88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88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88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88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88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88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88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88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88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88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88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88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88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88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88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88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88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88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88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88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88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88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88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88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88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88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88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88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88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88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88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88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88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88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88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88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88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88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88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88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88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88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88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88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88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88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88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88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88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88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88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88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88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88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88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88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88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88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88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88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88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88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88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88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88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88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88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88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88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88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88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88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88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88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8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8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8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8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8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8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8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88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88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88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88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88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88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88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88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88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88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88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>
      <c r="A999" s="88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>
      <c r="A1000" s="88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  <row r="1001">
      <c r="A1001" s="88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</row>
  </sheetData>
  <conditionalFormatting sqref="B2:Y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6" max="6" width="10.5"/>
    <col customWidth="1" min="7" max="7" width="15.5"/>
  </cols>
  <sheetData>
    <row r="1">
      <c r="A1" s="102"/>
      <c r="B1" s="103" t="s">
        <v>110</v>
      </c>
      <c r="C1" s="103" t="s">
        <v>111</v>
      </c>
      <c r="D1" s="104" t="s">
        <v>112</v>
      </c>
      <c r="E1" s="102"/>
      <c r="F1" s="105" t="s">
        <v>113</v>
      </c>
      <c r="G1" s="102"/>
    </row>
    <row r="2">
      <c r="A2" s="106" t="s">
        <v>114</v>
      </c>
      <c r="B2" s="107">
        <v>73.0</v>
      </c>
      <c r="C2" s="108">
        <v>92.0</v>
      </c>
      <c r="D2" s="109">
        <v>150.0</v>
      </c>
      <c r="E2" s="102"/>
      <c r="F2" s="110"/>
      <c r="G2" s="102"/>
    </row>
    <row r="3">
      <c r="A3" s="111" t="s">
        <v>115</v>
      </c>
      <c r="B3" s="112">
        <f>B2+B2*F3</f>
        <v>83.95</v>
      </c>
      <c r="C3" s="113">
        <f>C2+C2*F3</f>
        <v>105.8</v>
      </c>
      <c r="D3" s="114">
        <f>D2+D2*F3</f>
        <v>172.5</v>
      </c>
      <c r="E3" s="115" t="s">
        <v>116</v>
      </c>
      <c r="F3" s="116">
        <v>0.15</v>
      </c>
      <c r="G3" s="117" t="s">
        <v>117</v>
      </c>
    </row>
    <row r="4">
      <c r="A4" s="118" t="s">
        <v>118</v>
      </c>
      <c r="B4" s="112">
        <f>B2-B2*F4</f>
        <v>70.3282</v>
      </c>
      <c r="C4" s="113">
        <f>C2-C2*F4</f>
        <v>88.6328</v>
      </c>
      <c r="D4" s="114">
        <f>D2-D2*F4</f>
        <v>144.51</v>
      </c>
      <c r="E4" s="115" t="s">
        <v>116</v>
      </c>
      <c r="F4" s="116">
        <v>0.0366</v>
      </c>
      <c r="G4" s="117" t="s">
        <v>119</v>
      </c>
    </row>
    <row r="5">
      <c r="A5" s="119" t="s">
        <v>120</v>
      </c>
      <c r="B5" s="120">
        <f>B4-B4*F5</f>
        <v>55.559278</v>
      </c>
      <c r="C5" s="121">
        <f>C4-C4*F5</f>
        <v>70.019912</v>
      </c>
      <c r="D5" s="122">
        <f>D4-D4*F5</f>
        <v>114.1629</v>
      </c>
      <c r="E5" s="115" t="s">
        <v>116</v>
      </c>
      <c r="F5" s="116">
        <v>0.21</v>
      </c>
      <c r="G5" s="117" t="s">
        <v>121</v>
      </c>
    </row>
    <row r="6">
      <c r="A6" s="123" t="s">
        <v>122</v>
      </c>
      <c r="B6" s="124">
        <f>B5*F6+F7</f>
        <v>256.677834</v>
      </c>
      <c r="C6" s="125">
        <f>C5*F6+F7</f>
        <v>300.059736</v>
      </c>
      <c r="D6" s="126">
        <f>D5*F6+F7</f>
        <v>432.4887</v>
      </c>
      <c r="E6" s="115" t="s">
        <v>116</v>
      </c>
      <c r="F6" s="127">
        <v>3.0</v>
      </c>
      <c r="G6" s="117" t="s">
        <v>123</v>
      </c>
    </row>
    <row r="7">
      <c r="A7" s="102"/>
      <c r="B7" s="102"/>
      <c r="C7" s="102"/>
      <c r="D7" s="128"/>
      <c r="E7" s="102"/>
      <c r="F7" s="123">
        <v>90.0</v>
      </c>
      <c r="G7" s="117" t="s">
        <v>124</v>
      </c>
    </row>
    <row r="8">
      <c r="A8" s="102"/>
      <c r="B8" s="102"/>
      <c r="C8" s="102"/>
      <c r="D8" s="128"/>
      <c r="E8" s="102"/>
      <c r="F8" s="102"/>
      <c r="G8" s="117"/>
    </row>
    <row r="14">
      <c r="A14" s="129" t="s">
        <v>125</v>
      </c>
      <c r="B14" s="113">
        <f>B2-B2*F14</f>
        <v>66.43</v>
      </c>
      <c r="C14" s="113">
        <f>C2-C2*F14</f>
        <v>83.72</v>
      </c>
      <c r="D14" s="130">
        <f>D2-D2*F14</f>
        <v>136.5</v>
      </c>
      <c r="E14" s="102"/>
      <c r="F14" s="131">
        <v>0.09</v>
      </c>
      <c r="G14" s="129" t="s">
        <v>126</v>
      </c>
    </row>
    <row r="15">
      <c r="A15" s="102"/>
      <c r="B15" s="113">
        <f>B2-B2*F15</f>
        <v>64.24</v>
      </c>
      <c r="C15" s="113">
        <f>C2-C2*F15</f>
        <v>80.96</v>
      </c>
      <c r="D15" s="130">
        <f>D2-D2*F15</f>
        <v>132</v>
      </c>
      <c r="E15" s="102"/>
      <c r="F15" s="131">
        <v>0.12</v>
      </c>
      <c r="G15" s="129" t="s">
        <v>127</v>
      </c>
    </row>
    <row r="16">
      <c r="A16" s="102"/>
      <c r="B16" s="113">
        <f>B2-B2*F16</f>
        <v>59.86</v>
      </c>
      <c r="C16" s="113">
        <f>C2-C2*F16</f>
        <v>75.44</v>
      </c>
      <c r="D16" s="130">
        <f>D2-D2*F16</f>
        <v>123</v>
      </c>
      <c r="E16" s="102"/>
      <c r="F16" s="131">
        <v>0.18</v>
      </c>
      <c r="G16" s="129" t="s">
        <v>128</v>
      </c>
    </row>
    <row r="17">
      <c r="A17" s="102"/>
      <c r="B17" s="113">
        <f>B2-B2*F17</f>
        <v>54.75</v>
      </c>
      <c r="C17" s="113">
        <f>C2-C2*F17</f>
        <v>69</v>
      </c>
      <c r="D17" s="130">
        <f>D2-D2*F17</f>
        <v>112.5</v>
      </c>
      <c r="E17" s="102"/>
      <c r="F17" s="131">
        <v>0.25</v>
      </c>
      <c r="G17" s="129" t="s">
        <v>129</v>
      </c>
    </row>
  </sheetData>
  <drawing r:id="rId1"/>
</worksheet>
</file>